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udie Kauhanen\Desktop\Study Notes\Year 2\Semester 1\Upland\Report\"/>
    </mc:Choice>
  </mc:AlternateContent>
  <xr:revisionPtr revIDLastSave="0" documentId="13_ncr:1_{BE105156-B376-426B-B9FA-67517267A54F}" xr6:coauthVersionLast="47" xr6:coauthVersionMax="47" xr10:uidLastSave="{00000000-0000-0000-0000-000000000000}"/>
  <bookViews>
    <workbookView xWindow="-96" yWindow="0" windowWidth="11712" windowHeight="12336" firstSheet="6" activeTab="10" xr2:uid="{8BDABB6E-E875-4DB3-A6C2-E8A2FDAA9270}"/>
  </bookViews>
  <sheets>
    <sheet name="Limestone Pavement grikes" sheetId="8" r:id="rId1"/>
    <sheet name="Limestone Pavem. rooting depths" sheetId="9" r:id="rId2"/>
    <sheet name="Stream 2025" sheetId="6" r:id="rId3"/>
    <sheet name="Lake 2025" sheetId="7" r:id="rId4"/>
    <sheet name="Beetle trapping data" sheetId="4" r:id="rId5"/>
    <sheet name="Beetle species and traits" sheetId="5" r:id="rId6"/>
    <sheet name="Birds" sheetId="10" r:id="rId7"/>
    <sheet name="Grasslands point quadrat data" sheetId="1" r:id="rId8"/>
    <sheet name="Sheet1" sheetId="13" r:id="rId9"/>
    <sheet name="Grasslands 50x50cm quadrat data" sheetId="2" r:id="rId10"/>
    <sheet name="Grassland Sorensen" sheetId="12" r:id="rId11"/>
    <sheet name="Peat bog data" sheetId="3" r:id="rId12"/>
    <sheet name="bog analysis" sheetId="11" r:id="rId13"/>
  </sheets>
  <definedNames>
    <definedName name="_xlnm._FilterDatabase" localSheetId="3" hidden="1">'Lake 2025'!$A$1:$H$99</definedName>
    <definedName name="_xlnm._FilterDatabase" localSheetId="1" hidden="1">'Limestone Pavem. rooting depths'!$A$1:$F$1</definedName>
    <definedName name="_xlnm._FilterDatabase" localSheetId="0" hidden="1">'Limestone Pavement grikes'!$A$1:$F$61</definedName>
    <definedName name="_xlnm._FilterDatabase" localSheetId="2" hidden="1">'Stream 2025'!$A$1:$H$99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3" l="1"/>
  <c r="H5" i="7"/>
  <c r="G5" i="7"/>
  <c r="F5" i="7"/>
  <c r="E5" i="7"/>
  <c r="D5" i="7"/>
  <c r="C5" i="7"/>
  <c r="H5" i="6"/>
  <c r="G5" i="6"/>
  <c r="F5" i="6"/>
  <c r="E5" i="6"/>
  <c r="D5" i="6"/>
  <c r="C5" i="6"/>
  <c r="E128" i="1" l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<sst xmlns="http://schemas.openxmlformats.org/spreadsheetml/2006/main" count="4233" uniqueCount="420">
  <si>
    <t>group</t>
  </si>
  <si>
    <t>site</t>
  </si>
  <si>
    <t>pin</t>
  </si>
  <si>
    <t>noPin</t>
  </si>
  <si>
    <t>%pin</t>
  </si>
  <si>
    <t>higher_taxon</t>
  </si>
  <si>
    <t>scientific name</t>
  </si>
  <si>
    <t>common name</t>
  </si>
  <si>
    <t>calcareous grassland</t>
  </si>
  <si>
    <t>Forbs &amp; dwarf shrubs</t>
  </si>
  <si>
    <t>Achillea millefolium</t>
  </si>
  <si>
    <t>Yarrow</t>
  </si>
  <si>
    <t>acidic grassland</t>
  </si>
  <si>
    <t>Grasses, sedges and rushes</t>
  </si>
  <si>
    <t>Agrostis capillaris</t>
  </si>
  <si>
    <t>Common Bent</t>
  </si>
  <si>
    <t>common bent</t>
  </si>
  <si>
    <t>bare ground</t>
  </si>
  <si>
    <t>Briza media</t>
  </si>
  <si>
    <t>Quaking-grass</t>
  </si>
  <si>
    <t>Calluna vulgaris</t>
  </si>
  <si>
    <t>Heather</t>
  </si>
  <si>
    <t>Carex caryophyllea</t>
  </si>
  <si>
    <t>Spring Sedge</t>
  </si>
  <si>
    <t>Carex flacca</t>
  </si>
  <si>
    <t>Glaucous Sedge</t>
  </si>
  <si>
    <t>Carex pulicaris</t>
  </si>
  <si>
    <t xml:space="preserve">Flea Sedge </t>
  </si>
  <si>
    <t>Bryophytes</t>
  </si>
  <si>
    <t>Ctenidium molluscum</t>
  </si>
  <si>
    <t>Deschampsia flexuosa</t>
  </si>
  <si>
    <t>Wavy hair-grass</t>
  </si>
  <si>
    <t>Dicranum scoparium</t>
  </si>
  <si>
    <t>Ditrichum gracile</t>
  </si>
  <si>
    <t>Festuca ovina</t>
  </si>
  <si>
    <t>Sheep’s Fescue</t>
  </si>
  <si>
    <t>Galium saxatile</t>
  </si>
  <si>
    <t>Heath Bedstraw</t>
  </si>
  <si>
    <t>Galium sterneri</t>
  </si>
  <si>
    <t>Limestone Bedstraw</t>
  </si>
  <si>
    <t>Galium verum</t>
  </si>
  <si>
    <t>Lady’s Bedstraw</t>
  </si>
  <si>
    <t>Helianthemum nummularium</t>
  </si>
  <si>
    <t>Rock-rose</t>
  </si>
  <si>
    <t>Helictotrichon pratense</t>
  </si>
  <si>
    <t>Meadow Oat-grass</t>
  </si>
  <si>
    <t>Hypnum jutlandicum</t>
  </si>
  <si>
    <t>Leontodon hispidus</t>
  </si>
  <si>
    <t>Rough</t>
  </si>
  <si>
    <t>Linum catharticum</t>
  </si>
  <si>
    <t>Fairy Flax</t>
  </si>
  <si>
    <t>Lotus corniculatus</t>
  </si>
  <si>
    <t>Bird's-foot Trefoil</t>
  </si>
  <si>
    <t>Bed’s-foot Trefoil</t>
  </si>
  <si>
    <t>Luzula multiflora</t>
  </si>
  <si>
    <t>Heath Wood-rush</t>
  </si>
  <si>
    <t>Nardus stricta</t>
  </si>
  <si>
    <t>Mat grass</t>
  </si>
  <si>
    <t>Pilosella officinarum</t>
  </si>
  <si>
    <t>Mouse-ear-hawkweed</t>
  </si>
  <si>
    <t>Plantago lanceolata</t>
  </si>
  <si>
    <t>Ribwort Plantain</t>
  </si>
  <si>
    <t>Polytrichastrum commune</t>
  </si>
  <si>
    <t>Potentilla erecta</t>
  </si>
  <si>
    <t>Tormentil</t>
  </si>
  <si>
    <t>tormentil</t>
  </si>
  <si>
    <t>Poterium sanguisorba</t>
  </si>
  <si>
    <t>Salad Burnet</t>
  </si>
  <si>
    <t>Pseudoscleropodium purum</t>
  </si>
  <si>
    <t>Rhytidiadelphus squarrosus</t>
  </si>
  <si>
    <t>Rumex acetosella</t>
  </si>
  <si>
    <t>sheep's sorrel</t>
  </si>
  <si>
    <t>Sheep's Sorrel</t>
  </si>
  <si>
    <t>Sesleria caerulea</t>
  </si>
  <si>
    <t>Blue Moor Grass</t>
  </si>
  <si>
    <t>Thymus polytrichus</t>
  </si>
  <si>
    <t>Wild Thyme</t>
  </si>
  <si>
    <t>Vaccinium myrtillus</t>
  </si>
  <si>
    <t>Bilberry</t>
  </si>
  <si>
    <t>Viola lutea</t>
  </si>
  <si>
    <t>Mountain Pansy</t>
  </si>
  <si>
    <t>quadrat</t>
  </si>
  <si>
    <t>heather</t>
  </si>
  <si>
    <t>Forbs</t>
  </si>
  <si>
    <t>Euphrasia  spp.</t>
  </si>
  <si>
    <t>Eyebright</t>
  </si>
  <si>
    <t>sheeps fescue</t>
  </si>
  <si>
    <t>Hypericum sp.</t>
  </si>
  <si>
    <t>St John's-wort</t>
  </si>
  <si>
    <t>Polygala serpyllifolia</t>
  </si>
  <si>
    <t>Heath Milkwort</t>
  </si>
  <si>
    <t>Ranunculus bulbosus</t>
  </si>
  <si>
    <t>Bulbous Buttercup</t>
  </si>
  <si>
    <t>sheeps sorrel</t>
  </si>
  <si>
    <t>Sheep's sorrel</t>
  </si>
  <si>
    <t>Trifolium repens</t>
  </si>
  <si>
    <t>White Clover</t>
  </si>
  <si>
    <t>location</t>
  </si>
  <si>
    <t>type</t>
  </si>
  <si>
    <t>domin value</t>
  </si>
  <si>
    <t>hummock_1</t>
  </si>
  <si>
    <t>hummock</t>
  </si>
  <si>
    <t>Narthecium ossifragum</t>
  </si>
  <si>
    <t>Bog Asphodel</t>
  </si>
  <si>
    <t>Vaccinium oxycoccos</t>
  </si>
  <si>
    <t>Cranberry</t>
  </si>
  <si>
    <t>hummock_2</t>
  </si>
  <si>
    <t xml:space="preserve">Heather </t>
  </si>
  <si>
    <t>Erica tetralix</t>
  </si>
  <si>
    <t>Cross-leaved Heath</t>
  </si>
  <si>
    <t>Shrubs and Trees</t>
  </si>
  <si>
    <t>Betula pubescens</t>
  </si>
  <si>
    <t>Downy Birch</t>
  </si>
  <si>
    <t>hummock_3</t>
  </si>
  <si>
    <t>Eriophorum vaginatum</t>
  </si>
  <si>
    <t>Hare’s-tail Cottongrass</t>
  </si>
  <si>
    <t>Polytrichum commune</t>
  </si>
  <si>
    <t>Sphagnum capillifolium</t>
  </si>
  <si>
    <t>hummock_4</t>
  </si>
  <si>
    <t>Andromeda polifolia</t>
  </si>
  <si>
    <t>Bog Rosemary</t>
  </si>
  <si>
    <t>Pinus sylvestris</t>
  </si>
  <si>
    <t>Scots Pine</t>
  </si>
  <si>
    <t>Sphagnum papillosum</t>
  </si>
  <si>
    <t>Hummock_5</t>
  </si>
  <si>
    <t>Lichens</t>
  </si>
  <si>
    <t>Cladonia portentosa</t>
  </si>
  <si>
    <t>hollow_1</t>
  </si>
  <si>
    <t>hollow</t>
  </si>
  <si>
    <t>Drosera rotundifolia</t>
  </si>
  <si>
    <t>Round-leaved Sundew</t>
  </si>
  <si>
    <t>hollow_2</t>
  </si>
  <si>
    <t>hollow_3</t>
  </si>
  <si>
    <t>Cladonia arbuscula</t>
  </si>
  <si>
    <t>hollow_4</t>
  </si>
  <si>
    <t>hollow_5</t>
  </si>
  <si>
    <t>Molinia caerulea</t>
  </si>
  <si>
    <t>Purple Moor-grass</t>
  </si>
  <si>
    <t>Trichophorum germanicum</t>
  </si>
  <si>
    <t>Deergrass</t>
  </si>
  <si>
    <t>Sphagnum subnitens</t>
  </si>
  <si>
    <t>hummock_5</t>
  </si>
  <si>
    <t>bog rosemary</t>
  </si>
  <si>
    <t>Eriophorum angustifolium</t>
  </si>
  <si>
    <t>Common Cottongrass</t>
  </si>
  <si>
    <t>Bog-rosemary</t>
  </si>
  <si>
    <t>Cladonia Arbuscula</t>
  </si>
  <si>
    <t xml:space="preserve">Grasses, sedges and rushes </t>
  </si>
  <si>
    <t>Hare's-tale Cottongrass</t>
  </si>
  <si>
    <t>Forbs and dwarf shrubs</t>
  </si>
  <si>
    <t xml:space="preserve">Bog-rosemary </t>
  </si>
  <si>
    <t xml:space="preserve">Forbs and dwarf shrubs </t>
  </si>
  <si>
    <t xml:space="preserve">Cross-leaved Heath </t>
  </si>
  <si>
    <t xml:space="preserve">Bryophytes </t>
  </si>
  <si>
    <t xml:space="preserve">Lichen </t>
  </si>
  <si>
    <t>Shrubs and trees</t>
  </si>
  <si>
    <t>Empetrum nigrum</t>
  </si>
  <si>
    <t>Crowberry</t>
  </si>
  <si>
    <t>Betula pendula</t>
  </si>
  <si>
    <t>Silver birch</t>
  </si>
  <si>
    <t>species</t>
  </si>
  <si>
    <t>number</t>
  </si>
  <si>
    <t>woodland</t>
  </si>
  <si>
    <t>Nebria brevicollis</t>
  </si>
  <si>
    <t>Loricera pilicornis</t>
  </si>
  <si>
    <t>Abax parallelepipedus</t>
  </si>
  <si>
    <t>Pterostichus madidus</t>
  </si>
  <si>
    <t>Platynus assimilis</t>
  </si>
  <si>
    <t>Pterostichus nigrita</t>
  </si>
  <si>
    <t>Pterostichus strenuus</t>
  </si>
  <si>
    <t>Bembidion mannerheimii</t>
  </si>
  <si>
    <t>grassland</t>
  </si>
  <si>
    <t>Poecilus versicolor</t>
  </si>
  <si>
    <t>Clivina fossor</t>
  </si>
  <si>
    <t>Pterostichus anthracinus</t>
  </si>
  <si>
    <t>Agonum muelleri</t>
  </si>
  <si>
    <t>Bembidion biguttatum</t>
  </si>
  <si>
    <t>Bembidion guttula</t>
  </si>
  <si>
    <t>Bembidion lampros</t>
  </si>
  <si>
    <t>Agonum emarginatum</t>
  </si>
  <si>
    <t>Agonum viduum</t>
  </si>
  <si>
    <t>average size</t>
  </si>
  <si>
    <t>wings</t>
  </si>
  <si>
    <t>unwinged</t>
  </si>
  <si>
    <t>winged</t>
  </si>
  <si>
    <t>dimorphic</t>
  </si>
  <si>
    <t>FRESHWATER DATA</t>
  </si>
  <si>
    <t>Date:</t>
  </si>
  <si>
    <t>Group/student names:</t>
  </si>
  <si>
    <t>all groiups</t>
  </si>
  <si>
    <t>Type of water body (stream / pond)</t>
  </si>
  <si>
    <t>Stream</t>
  </si>
  <si>
    <t>Water pH:</t>
  </si>
  <si>
    <t>Tally of individuals</t>
  </si>
  <si>
    <t>Group1</t>
  </si>
  <si>
    <t>Group2</t>
  </si>
  <si>
    <t>Group3</t>
  </si>
  <si>
    <t>Group4</t>
  </si>
  <si>
    <t>Group5</t>
  </si>
  <si>
    <t>Group6</t>
  </si>
  <si>
    <t>PHYLUM ARTHROPODA (animals with jointed exoskeletons)</t>
  </si>
  <si>
    <t>CLASS CRUSTACEA (arthropods with 2 pairs of antennae)</t>
  </si>
  <si>
    <t xml:space="preserve"> </t>
  </si>
  <si>
    <t>Order Ostracoda</t>
  </si>
  <si>
    <t>Order Cladocera</t>
  </si>
  <si>
    <t>Order Copepoda</t>
  </si>
  <si>
    <t>Order Isopoda (only one family likely)</t>
  </si>
  <si>
    <t xml:space="preserve">     Family Asellidae</t>
  </si>
  <si>
    <t>Order Amphipoda (can usually be identified to family; only two likely)</t>
  </si>
  <si>
    <t xml:space="preserve">     Family Corophiidae</t>
  </si>
  <si>
    <t xml:space="preserve">     Family Gammaridae</t>
  </si>
  <si>
    <t>CLASS INSECTA (insects: arthropods with 3 pairs of legs as adults)</t>
  </si>
  <si>
    <t>Order Ephemeroptera (Mayflies; have aquatic nymphs)</t>
  </si>
  <si>
    <t xml:space="preserve">     Family Baetidae (Swimming MFs)</t>
  </si>
  <si>
    <t xml:space="preserve">     Family Caenidae (Square-gilled MFs)</t>
  </si>
  <si>
    <t xml:space="preserve">     Family Ecdyonuridae (Flattened MFs)</t>
  </si>
  <si>
    <t xml:space="preserve">     Family Ephemerellidae (Crawling MFs)</t>
  </si>
  <si>
    <t xml:space="preserve">     Family Ephemeridae (Burrowing MFs)</t>
  </si>
  <si>
    <t xml:space="preserve">     Family Leptophlebiidae (Prong-gilled MFs)</t>
  </si>
  <si>
    <t>Order Odonata (Damselflies &amp; Dragonflies; have aquatic nymphs)</t>
  </si>
  <si>
    <t xml:space="preserve">     Sub-order Zygoptera (Damselflies)</t>
  </si>
  <si>
    <t xml:space="preserve">     Sub-order Anisoptera (Dragonflies)</t>
  </si>
  <si>
    <t>Order Plecoptera (Stoneflies; have aquatic nymphs)</t>
  </si>
  <si>
    <t xml:space="preserve">     Family Nemouridae</t>
  </si>
  <si>
    <t xml:space="preserve">     Family Leuctridae</t>
  </si>
  <si>
    <t xml:space="preserve">     Family Capniidae</t>
  </si>
  <si>
    <t xml:space="preserve">     Family Perlodidae</t>
  </si>
  <si>
    <t xml:space="preserve">     Family Perlidae</t>
  </si>
  <si>
    <t>Order Hemiptera (Water bugs)</t>
  </si>
  <si>
    <t xml:space="preserve">     Family Hydrometridae (Water Measurer)</t>
  </si>
  <si>
    <t xml:space="preserve">     Family Gerridae (Pond Skater)</t>
  </si>
  <si>
    <t xml:space="preserve">     Family Veliidae (Water Cricket)</t>
  </si>
  <si>
    <t xml:space="preserve">     Family Nepidae (Water Scorpion)</t>
  </si>
  <si>
    <t xml:space="preserve">     Family Notonectidae (Greater Water Boatmen)</t>
  </si>
  <si>
    <t xml:space="preserve">     Family Corixidae (Lesser Water Boatmen)</t>
  </si>
  <si>
    <t>Order Neuroptera (Lacewings &amp; allies; some larvae aquatic)</t>
  </si>
  <si>
    <t xml:space="preserve">     Family Sialidae</t>
  </si>
  <si>
    <t>Order Coleoptera (Water beetles)</t>
  </si>
  <si>
    <t xml:space="preserve">     Family Gyrinidae (Whirligigs)</t>
  </si>
  <si>
    <t xml:space="preserve">     Family Haliplidae</t>
  </si>
  <si>
    <t xml:space="preserve">     Family Hydrophilidae</t>
  </si>
  <si>
    <t xml:space="preserve">     Family Dytiscidae (Diving Beetles)</t>
  </si>
  <si>
    <t xml:space="preserve">     Family Elminthidae (Riffle Beetles)</t>
  </si>
  <si>
    <t xml:space="preserve">     Family Elmidae (Riffle Beetles)</t>
  </si>
  <si>
    <t>Order Diptera (True Flies; some larvae aquatic)</t>
  </si>
  <si>
    <t xml:space="preserve">     Family Simuliidae (Black flies)</t>
  </si>
  <si>
    <t xml:space="preserve">     Family Chironomidae (Non-biting midges)</t>
  </si>
  <si>
    <t xml:space="preserve">     Family Ceratopogonidae (Biting midges)</t>
  </si>
  <si>
    <t xml:space="preserve">     Family Culicidae (Mosquitoes)</t>
  </si>
  <si>
    <t xml:space="preserve">     Family Syrphidae (Hoverflies)</t>
  </si>
  <si>
    <t xml:space="preserve">     Family Tipulidae (Crane flies)</t>
  </si>
  <si>
    <t>Order Trichoptera (Caddisflies; most larvae aquatic)</t>
  </si>
  <si>
    <t xml:space="preserve">     Family Hydropsychidae</t>
  </si>
  <si>
    <t xml:space="preserve">     Family Philopotamidae</t>
  </si>
  <si>
    <t xml:space="preserve">     Family Polycentropidae</t>
  </si>
  <si>
    <t xml:space="preserve">     Family Psychomyiidae</t>
  </si>
  <si>
    <t xml:space="preserve">     Family Leptoceridae</t>
  </si>
  <si>
    <t xml:space="preserve">     Family Phryganeidae</t>
  </si>
  <si>
    <t xml:space="preserve">     Family Hydroptilidae</t>
  </si>
  <si>
    <t xml:space="preserve">     Family Limnephilidae</t>
  </si>
  <si>
    <t xml:space="preserve">     Family Sericostomatidae</t>
  </si>
  <si>
    <t xml:space="preserve">     Family Rhyacophilidae</t>
  </si>
  <si>
    <t xml:space="preserve">     Family Glossosomatidae</t>
  </si>
  <si>
    <t xml:space="preserve">     Family Odontoceridae</t>
  </si>
  <si>
    <t xml:space="preserve">     Family Molanidae</t>
  </si>
  <si>
    <t>Family Lepidostomatidae</t>
  </si>
  <si>
    <t>CLASS ARACHNIDA (arthropods with 4 pairs of legs; some aquatic)</t>
  </si>
  <si>
    <t>Order Hydracarina (water mites)</t>
  </si>
  <si>
    <t>Order Araneae (Water spider)</t>
  </si>
  <si>
    <t>PHYLUM MOLLUSCA</t>
  </si>
  <si>
    <t xml:space="preserve">     CLASS GASTROPODA (Snails; some aquatic)</t>
  </si>
  <si>
    <t xml:space="preserve">     Family Hydrobiidae (Spire Snails)</t>
  </si>
  <si>
    <t xml:space="preserve">     Family Ancylidae (Freshwater Limpets)</t>
  </si>
  <si>
    <t xml:space="preserve">     Family Lymnaeidae (Pond Snails)</t>
  </si>
  <si>
    <t xml:space="preserve">     Family Planorbidae (Ramshorn Snails)</t>
  </si>
  <si>
    <t xml:space="preserve">     Family Physidae (Bladder Snails)</t>
  </si>
  <si>
    <t xml:space="preserve">     CLASS BIVALVIA (Bivalves, e.g. freshwater mussels; all aquatic)</t>
  </si>
  <si>
    <t xml:space="preserve">     Family Unionidae</t>
  </si>
  <si>
    <t xml:space="preserve">     Family Sphaeriidae</t>
  </si>
  <si>
    <t>PHYLUM PLATYHEMINTHES (Flatworms)</t>
  </si>
  <si>
    <t xml:space="preserve">     Various groups</t>
  </si>
  <si>
    <t>PHYLUM ANNELIDA (Segmented Worms; some in freshwater)</t>
  </si>
  <si>
    <t>CLASS OLIGOCHAETA (Bristle Worms)</t>
  </si>
  <si>
    <t>CLASS HIRUDINEA (Leeches)</t>
  </si>
  <si>
    <t xml:space="preserve">     Family Piscicolidae</t>
  </si>
  <si>
    <t xml:space="preserve">     Family Glossophonidae</t>
  </si>
  <si>
    <t xml:space="preserve">     Family Hirudidae</t>
  </si>
  <si>
    <t xml:space="preserve">     Family Erpobdellidae</t>
  </si>
  <si>
    <t>crustacea - astacidae</t>
  </si>
  <si>
    <t>Plecoptera - Chloroperlidae</t>
  </si>
  <si>
    <t>Diptera - Thaumaleidae</t>
  </si>
  <si>
    <t>Lake</t>
  </si>
  <si>
    <t xml:space="preserve">  </t>
  </si>
  <si>
    <t>Group</t>
  </si>
  <si>
    <t>Grike</t>
  </si>
  <si>
    <t>Grike_width_m</t>
  </si>
  <si>
    <t>Grike_length_m</t>
  </si>
  <si>
    <t>Grike_depth_m</t>
  </si>
  <si>
    <t>SpeciesRichness</t>
  </si>
  <si>
    <t>plant group</t>
  </si>
  <si>
    <t>Scientific name</t>
  </si>
  <si>
    <t>English Common name</t>
  </si>
  <si>
    <t>rooting depth (cm)</t>
  </si>
  <si>
    <t>Grasses (G) &amp; sedges (S)</t>
  </si>
  <si>
    <t>Blue Moor-grass</t>
  </si>
  <si>
    <t>Actaea spicata</t>
  </si>
  <si>
    <t>Cardamine pratensis</t>
  </si>
  <si>
    <t>Cuckooflower</t>
  </si>
  <si>
    <t>Chamerion angustifolium</t>
  </si>
  <si>
    <t>Rosebay Willowherb</t>
  </si>
  <si>
    <t>Geranium robertianum</t>
  </si>
  <si>
    <t>Herb Robert</t>
  </si>
  <si>
    <t>Hieracium sp.</t>
  </si>
  <si>
    <t>Mercurialis perennis</t>
  </si>
  <si>
    <t>Dog’s Mercury</t>
  </si>
  <si>
    <t>Mycelis muralis</t>
  </si>
  <si>
    <t>Wall Lettuce</t>
  </si>
  <si>
    <t>Senecio jacobaea</t>
  </si>
  <si>
    <t>Common Ragwort</t>
  </si>
  <si>
    <t>Taraxacum sp.</t>
  </si>
  <si>
    <t>Urtica dioica</t>
  </si>
  <si>
    <t>Common nettle</t>
  </si>
  <si>
    <t>Trees</t>
  </si>
  <si>
    <t>Acer pseudoplatanus</t>
  </si>
  <si>
    <t>Sycamore</t>
  </si>
  <si>
    <t>Sorbus aucuparia</t>
  </si>
  <si>
    <t>Rowan</t>
  </si>
  <si>
    <t>Ferns</t>
  </si>
  <si>
    <t>Asplenium trichomanes</t>
  </si>
  <si>
    <t>Dryopteris filix-mas</t>
  </si>
  <si>
    <t xml:space="preserve">Male-fern </t>
  </si>
  <si>
    <t>Phyllitis scolopendrium</t>
  </si>
  <si>
    <t>Hart’s-tongue</t>
  </si>
  <si>
    <t>Polystichum aculeatum</t>
  </si>
  <si>
    <t>Hard Shield-fern</t>
  </si>
  <si>
    <t>Neckera crispa</t>
  </si>
  <si>
    <t>Pellia epiphylla</t>
  </si>
  <si>
    <t>Tortella tortuosa</t>
  </si>
  <si>
    <t>baneberry</t>
  </si>
  <si>
    <t>Baneberry</t>
  </si>
  <si>
    <t xml:space="preserve">Meadow Oat Grass </t>
  </si>
  <si>
    <t>Trefoil</t>
  </si>
  <si>
    <t xml:space="preserve">Dog's Mercury </t>
  </si>
  <si>
    <t>Castle Head</t>
  </si>
  <si>
    <t>Leighton Moss</t>
  </si>
  <si>
    <t>Blackbird</t>
  </si>
  <si>
    <t>Bittern</t>
  </si>
  <si>
    <t>Blackcap</t>
  </si>
  <si>
    <t>Blue Tit</t>
  </si>
  <si>
    <t>Buzzard</t>
  </si>
  <si>
    <t>Black-headed Gull</t>
  </si>
  <si>
    <t>Carrion Crow</t>
  </si>
  <si>
    <t>Chaffinch</t>
  </si>
  <si>
    <t>Canada Goose</t>
  </si>
  <si>
    <t>Chiffchaff</t>
  </si>
  <si>
    <t>Cetti's Warbler</t>
  </si>
  <si>
    <t>Cormorant</t>
  </si>
  <si>
    <t>Goldcrest</t>
  </si>
  <si>
    <t>Coal Tit</t>
  </si>
  <si>
    <t>Greenfinch</t>
  </si>
  <si>
    <t>Coot</t>
  </si>
  <si>
    <t>Jackdaw</t>
  </si>
  <si>
    <t>Magpie</t>
  </si>
  <si>
    <t>Gadwall</t>
  </si>
  <si>
    <t>Mallard</t>
  </si>
  <si>
    <t>Moorhen</t>
  </si>
  <si>
    <t>Goldfinch</t>
  </si>
  <si>
    <t>Nuthatch</t>
  </si>
  <si>
    <t>Great-crested Grebe</t>
  </si>
  <si>
    <t>Reed Bunting</t>
  </si>
  <si>
    <t>Greater Black-backed Gull</t>
  </si>
  <si>
    <t>Robin</t>
  </si>
  <si>
    <t>Greylag Goose</t>
  </si>
  <si>
    <t>Rook</t>
  </si>
  <si>
    <t>Heron</t>
  </si>
  <si>
    <t>Sedge Warbler</t>
  </si>
  <si>
    <t>House Sparrow</t>
  </si>
  <si>
    <t>Shelduck</t>
  </si>
  <si>
    <t>Song Thrush</t>
  </si>
  <si>
    <t>Little Grebe</t>
  </si>
  <si>
    <t>Starling</t>
  </si>
  <si>
    <t>Long-tailed Tit</t>
  </si>
  <si>
    <t>Swallow</t>
  </si>
  <si>
    <t>Willow Warbler</t>
  </si>
  <si>
    <t>Marsh Harrier</t>
  </si>
  <si>
    <t xml:space="preserve">Wood Pigeon </t>
  </si>
  <si>
    <t>Marsh Tit</t>
  </si>
  <si>
    <t>Wren</t>
  </si>
  <si>
    <t>Mute Swan</t>
  </si>
  <si>
    <t>Oystercatcher</t>
  </si>
  <si>
    <t>Pheasant</t>
  </si>
  <si>
    <t>Pied Wagtail</t>
  </si>
  <si>
    <t>Reed Warbler</t>
  </si>
  <si>
    <t>Sand Martin</t>
  </si>
  <si>
    <t>Spotted Flycatcher</t>
  </si>
  <si>
    <t>Swift</t>
  </si>
  <si>
    <t>Tufted Duck</t>
  </si>
  <si>
    <t>Average of domin value</t>
  </si>
  <si>
    <t>Values</t>
  </si>
  <si>
    <t>Microclimates</t>
  </si>
  <si>
    <t>Frequency by scientific name</t>
  </si>
  <si>
    <t>Woodland/Grassland</t>
  </si>
  <si>
    <t>Woodland</t>
  </si>
  <si>
    <t>Grassland</t>
  </si>
  <si>
    <t>Climate</t>
  </si>
  <si>
    <t>all</t>
  </si>
  <si>
    <t>damp</t>
  </si>
  <si>
    <t>dry</t>
  </si>
  <si>
    <t>(preference for dry grassland)</t>
  </si>
  <si>
    <t>(marsh and fen dwelling)</t>
  </si>
  <si>
    <t>Typical_Habitat</t>
  </si>
  <si>
    <t>Gummer's Hollow</t>
  </si>
  <si>
    <t>Scout's Scar</t>
  </si>
  <si>
    <t>Combined</t>
  </si>
  <si>
    <t>No. Species</t>
  </si>
  <si>
    <t>No. Unique species</t>
  </si>
  <si>
    <t>No. Shared species</t>
  </si>
  <si>
    <t>Column1</t>
  </si>
  <si>
    <t>Additional_Comments</t>
  </si>
  <si>
    <t>Observed_Habitat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</si>
</sst>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Times New Roman"/>
      <family val="1"/>
    </font>
    <font>
      <i/>
      <sz val="10"/>
      <color theme="1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/>
    </xf>
    <xf numFmtId="0" fontId="4" fillId="0" borderId="0" xfId="1" applyNumberFormat="1"/>
    <xf numFmtId="49" fontId="6" fillId="3" borderId="3" xfId="1" applyNumberFormat="1" applyFont="1" applyFill="1" applyBorder="1" applyAlignment="1">
      <alignment horizontal="left" vertical="center"/>
    </xf>
    <xf numFmtId="164" fontId="7" fillId="0" borderId="3" xfId="1" applyNumberFormat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49" fontId="6" fillId="0" borderId="3" xfId="1" applyNumberFormat="1" applyFont="1" applyBorder="1"/>
    <xf numFmtId="49" fontId="4" fillId="0" borderId="3" xfId="1" applyNumberFormat="1" applyBorder="1"/>
    <xf numFmtId="0" fontId="4" fillId="0" borderId="4" xfId="1" applyBorder="1"/>
    <xf numFmtId="49" fontId="6" fillId="0" borderId="3" xfId="1" applyNumberFormat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49" fontId="6" fillId="0" borderId="3" xfId="1" applyNumberFormat="1" applyFont="1" applyBorder="1" applyAlignment="1">
      <alignment horizontal="left"/>
    </xf>
    <xf numFmtId="0" fontId="4" fillId="0" borderId="3" xfId="1" applyBorder="1"/>
    <xf numFmtId="0" fontId="4" fillId="0" borderId="5" xfId="1" applyBorder="1"/>
    <xf numFmtId="0" fontId="8" fillId="0" borderId="6" xfId="1" applyNumberFormat="1" applyFont="1" applyFill="1" applyBorder="1"/>
    <xf numFmtId="0" fontId="8" fillId="0" borderId="6" xfId="1" applyNumberFormat="1" applyFont="1" applyBorder="1"/>
    <xf numFmtId="0" fontId="4" fillId="0" borderId="6" xfId="1" applyNumberFormat="1" applyBorder="1"/>
    <xf numFmtId="49" fontId="6" fillId="4" borderId="3" xfId="1" applyNumberFormat="1" applyFont="1" applyFill="1" applyBorder="1"/>
    <xf numFmtId="0" fontId="4" fillId="5" borderId="3" xfId="1" applyFill="1" applyBorder="1"/>
    <xf numFmtId="0" fontId="4" fillId="4" borderId="3" xfId="1" applyFill="1" applyBorder="1"/>
    <xf numFmtId="0" fontId="4" fillId="2" borderId="6" xfId="1" applyNumberFormat="1" applyFill="1" applyBorder="1"/>
    <xf numFmtId="0" fontId="9" fillId="6" borderId="7" xfId="2" applyFill="1" applyBorder="1"/>
    <xf numFmtId="0" fontId="6" fillId="4" borderId="3" xfId="1" applyFont="1" applyFill="1" applyBorder="1"/>
    <xf numFmtId="0" fontId="9" fillId="6" borderId="6" xfId="2" applyFill="1" applyBorder="1"/>
    <xf numFmtId="0" fontId="9" fillId="0" borderId="6" xfId="2" applyBorder="1"/>
    <xf numFmtId="0" fontId="6" fillId="5" borderId="3" xfId="1" applyFont="1" applyFill="1" applyBorder="1"/>
    <xf numFmtId="0" fontId="4" fillId="0" borderId="3" xfId="1" applyNumberFormat="1" applyBorder="1"/>
    <xf numFmtId="0" fontId="4" fillId="0" borderId="6" xfId="1" applyNumberFormat="1" applyFill="1" applyBorder="1"/>
    <xf numFmtId="0" fontId="6" fillId="4" borderId="8" xfId="1" applyFont="1" applyFill="1" applyBorder="1"/>
    <xf numFmtId="0" fontId="4" fillId="4" borderId="9" xfId="1" applyFill="1" applyBorder="1"/>
    <xf numFmtId="0" fontId="9" fillId="6" borderId="10" xfId="2" applyFill="1" applyBorder="1"/>
    <xf numFmtId="0" fontId="6" fillId="5" borderId="8" xfId="1" applyFont="1" applyFill="1" applyBorder="1"/>
    <xf numFmtId="0" fontId="8" fillId="0" borderId="3" xfId="1" applyFont="1" applyBorder="1"/>
    <xf numFmtId="0" fontId="10" fillId="6" borderId="6" xfId="2" applyFont="1" applyFill="1" applyBorder="1"/>
    <xf numFmtId="0" fontId="8" fillId="2" borderId="6" xfId="1" applyNumberFormat="1" applyFont="1" applyFill="1" applyBorder="1"/>
    <xf numFmtId="49" fontId="4" fillId="0" borderId="11" xfId="1" applyNumberFormat="1" applyFill="1" applyBorder="1"/>
    <xf numFmtId="0" fontId="4" fillId="0" borderId="2" xfId="1" applyBorder="1"/>
    <xf numFmtId="0" fontId="6" fillId="0" borderId="3" xfId="1" applyFont="1" applyBorder="1" applyAlignment="1">
      <alignment horizontal="center"/>
    </xf>
    <xf numFmtId="49" fontId="11" fillId="0" borderId="12" xfId="1" applyNumberFormat="1" applyFont="1" applyBorder="1" applyAlignment="1">
      <alignment horizontal="center"/>
    </xf>
    <xf numFmtId="0" fontId="8" fillId="0" borderId="13" xfId="1" applyFont="1" applyBorder="1"/>
    <xf numFmtId="0" fontId="8" fillId="0" borderId="14" xfId="1" applyFont="1" applyBorder="1"/>
    <xf numFmtId="0" fontId="8" fillId="0" borderId="15" xfId="1" applyNumberFormat="1" applyFont="1" applyFill="1" applyBorder="1"/>
    <xf numFmtId="0" fontId="8" fillId="0" borderId="15" xfId="1" applyNumberFormat="1" applyFont="1" applyBorder="1"/>
    <xf numFmtId="0" fontId="4" fillId="5" borderId="8" xfId="1" applyFill="1" applyBorder="1"/>
    <xf numFmtId="0" fontId="4" fillId="4" borderId="6" xfId="1" applyFill="1" applyBorder="1"/>
    <xf numFmtId="0" fontId="4" fillId="2" borderId="6" xfId="1" applyFill="1" applyBorder="1"/>
    <xf numFmtId="0" fontId="4" fillId="4" borderId="8" xfId="1" applyFill="1" applyBorder="1"/>
    <xf numFmtId="0" fontId="4" fillId="0" borderId="8" xfId="1" applyBorder="1"/>
    <xf numFmtId="0" fontId="4" fillId="0" borderId="6" xfId="1" applyBorder="1"/>
    <xf numFmtId="0" fontId="6" fillId="4" borderId="6" xfId="1" applyFont="1" applyFill="1" applyBorder="1"/>
    <xf numFmtId="0" fontId="12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0" fillId="0" borderId="0" xfId="0" pivotButton="1"/>
    <xf numFmtId="2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9" fontId="5" fillId="3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784E5EBF-731E-45BD-B7FE-15968D4D6F1D}"/>
    <cellStyle name="Normal 2 2" xfId="2" xr:uid="{289BC3E8-7897-430E-A0D4-A3421191EA53}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rut Kauhanen" refreshedDate="45846.426424189813" createdVersion="8" refreshedVersion="8" minRefreshableVersion="3" recordCount="379" xr:uid="{E2AAA402-DECE-4086-B549-F05767E3D60A}">
  <cacheSource type="worksheet">
    <worksheetSource ref="A1:H380" sheet="Peat bog data"/>
  </cacheSource>
  <cacheFields count="8">
    <cacheField name="group" numFmtId="0">
      <sharedItems containsSemiMixedTypes="0" containsString="0" containsNumber="1" containsInteger="1" minValue="1" maxValue="6"/>
    </cacheField>
    <cacheField name="site" numFmtId="0">
      <sharedItems containsString="0" containsBlank="1" containsNumber="1" containsInteger="1" minValue="1" maxValue="10"/>
    </cacheField>
    <cacheField name="location" numFmtId="0">
      <sharedItems/>
    </cacheField>
    <cacheField name="type" numFmtId="0">
      <sharedItems count="2">
        <s v="hummock"/>
        <s v="hollow"/>
      </sharedItems>
    </cacheField>
    <cacheField name="higher_taxon" numFmtId="0">
      <sharedItems containsBlank="1"/>
    </cacheField>
    <cacheField name="scientific name" numFmtId="0">
      <sharedItems count="22">
        <s v="Narthecium ossifragum"/>
        <s v="Vaccinium myrtillus"/>
        <s v="Vaccinium oxycoccos"/>
        <s v="Calluna vulgaris"/>
        <s v="Erica tetralix"/>
        <s v="Betula pubescens"/>
        <s v="Eriophorum vaginatum"/>
        <s v="Polytrichum commune"/>
        <s v="Sphagnum capillifolium"/>
        <s v="Andromeda polifolia"/>
        <s v="Pinus sylvestris"/>
        <s v="Sphagnum papillosum"/>
        <s v="Cladonia portentosa"/>
        <s v="Drosera rotundifolia"/>
        <s v="Hypnum jutlandicum"/>
        <s v="Cladonia arbuscula"/>
        <s v="Molinia caerulea"/>
        <s v="Trichophorum germanicum"/>
        <s v="Sphagnum subnitens"/>
        <s v="Eriophorum angustifolium"/>
        <s v="Empetrum nigrum"/>
        <s v="Betula pendula"/>
      </sharedItems>
    </cacheField>
    <cacheField name="common name" numFmtId="0">
      <sharedItems containsBlank="1"/>
    </cacheField>
    <cacheField name="domin value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ie Kauhanen" refreshedDate="45855.716157407405" createdVersion="8" refreshedVersion="8" minRefreshableVersion="3" recordCount="50" xr:uid="{E43CD731-2524-4698-B2F2-231EF3E670DB}">
  <cacheSource type="worksheet">
    <worksheetSource ref="A1:B51" sheet="Grassland Sorensen"/>
  </cacheSource>
  <cacheFields count="2">
    <cacheField name="site" numFmtId="0">
      <sharedItems count="2">
        <s v="acidic grassland"/>
        <s v="calcareous grassland"/>
      </sharedItems>
    </cacheField>
    <cacheField name="scientific name" numFmtId="0">
      <sharedItems count="41">
        <s v="Achillea millefolium"/>
        <s v="Agrostis capillaris"/>
        <s v="Calluna vulgaris"/>
        <s v="Deschampsia flexuosa"/>
        <s v="Festuca ovina"/>
        <s v="Galium saxatile"/>
        <s v="Nardus stricta"/>
        <s v="Plantago lanceolata"/>
        <s v="Polytrichastrum commune"/>
        <s v="Potentilla erecta"/>
        <s v="Rhytidiadelphus squarrosus"/>
        <s v="Rumex acetosella"/>
        <s v="Vaccinium myrtillus"/>
        <s v="bare ground"/>
        <s v="Dicranum scoparium"/>
        <s v="Hypnum jutlandicum"/>
        <s v="Luzula multiflora"/>
        <s v="Briza media"/>
        <s v="Carex caryophyllea"/>
        <s v="Carex flacca"/>
        <s v="Euphrasia  spp."/>
        <s v="Galium sterneri"/>
        <s v="Galium verum"/>
        <s v="Helianthemum nummularium"/>
        <s v="Helictotrichon pratense"/>
        <s v="Hypericum sp."/>
        <s v="Linum catharticum"/>
        <s v="Lotus corniculatus"/>
        <s v="Pilosella officinarum"/>
        <s v="Polygala serpyllifolia"/>
        <s v="Poterium sanguisorba"/>
        <s v="Pseudoscleropodium purum"/>
        <s v="Ranunculus bulbosus"/>
        <s v="Sesleria caerulea"/>
        <s v="Thymus polytrichus"/>
        <s v="Trifolium repens"/>
        <s v="Viola lutea"/>
        <s v="Carex pulicaris"/>
        <s v="Ctenidium molluscum"/>
        <s v="Ditrichum gracile"/>
        <s v="Leontodon hispid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n v="6"/>
    <n v="1"/>
    <s v="hummock_1"/>
    <x v="0"/>
    <s v="Forbs &amp; dwarf shrubs"/>
    <x v="0"/>
    <s v="Bog Asphodel"/>
    <n v="7"/>
  </r>
  <r>
    <n v="6"/>
    <n v="1"/>
    <s v="hummock_1"/>
    <x v="0"/>
    <s v="Forbs &amp; dwarf shrubs"/>
    <x v="1"/>
    <s v="Bilberry"/>
    <n v="3"/>
  </r>
  <r>
    <n v="6"/>
    <n v="1"/>
    <s v="hummock_1"/>
    <x v="0"/>
    <s v="Forbs &amp; dwarf shrubs"/>
    <x v="2"/>
    <s v="Cranberry"/>
    <n v="4"/>
  </r>
  <r>
    <n v="6"/>
    <n v="2"/>
    <s v="hummock_2"/>
    <x v="0"/>
    <s v="Forbs &amp; dwarf shrubs"/>
    <x v="3"/>
    <s v="Heather "/>
    <n v="9"/>
  </r>
  <r>
    <n v="6"/>
    <n v="2"/>
    <s v="hummock_2"/>
    <x v="0"/>
    <s v="Forbs &amp; dwarf shrubs"/>
    <x v="4"/>
    <s v="Cross-leaved Heath"/>
    <n v="5"/>
  </r>
  <r>
    <n v="6"/>
    <n v="2"/>
    <s v="hummock_2"/>
    <x v="0"/>
    <s v="Forbs &amp; dwarf shrubs"/>
    <x v="1"/>
    <s v="Bilberry"/>
    <n v="5"/>
  </r>
  <r>
    <n v="6"/>
    <n v="2"/>
    <s v="hummock_2"/>
    <x v="0"/>
    <s v="Forbs &amp; dwarf shrubs"/>
    <x v="2"/>
    <s v="Cranberry"/>
    <n v="5"/>
  </r>
  <r>
    <n v="6"/>
    <n v="2"/>
    <s v="hummock_2"/>
    <x v="0"/>
    <s v="Shrubs and Trees"/>
    <x v="5"/>
    <s v="Downy Birch"/>
    <n v="1"/>
  </r>
  <r>
    <n v="6"/>
    <n v="3"/>
    <s v="hummock_3"/>
    <x v="0"/>
    <s v="Grasses, sedges and rushes"/>
    <x v="6"/>
    <s v="Hare’s-tail Cottongrass"/>
    <n v="8"/>
  </r>
  <r>
    <n v="6"/>
    <n v="3"/>
    <s v="hummock_3"/>
    <x v="0"/>
    <s v="Forbs &amp; dwarf shrubs"/>
    <x v="3"/>
    <s v="Heather "/>
    <n v="5"/>
  </r>
  <r>
    <n v="6"/>
    <n v="3"/>
    <s v="hummock_3"/>
    <x v="0"/>
    <s v="Forbs &amp; dwarf shrubs"/>
    <x v="0"/>
    <s v="Bog Asphodel"/>
    <n v="4"/>
  </r>
  <r>
    <n v="6"/>
    <n v="3"/>
    <s v="hummock_3"/>
    <x v="0"/>
    <s v="Forbs &amp; dwarf shrubs"/>
    <x v="2"/>
    <s v="Cranberry"/>
    <n v="6"/>
  </r>
  <r>
    <n v="6"/>
    <n v="3"/>
    <s v="hummock_3"/>
    <x v="0"/>
    <s v="Bryophytes"/>
    <x v="7"/>
    <m/>
    <n v="8"/>
  </r>
  <r>
    <n v="6"/>
    <n v="3"/>
    <s v="hummock_3"/>
    <x v="0"/>
    <s v="Bryophytes"/>
    <x v="8"/>
    <m/>
    <n v="10"/>
  </r>
  <r>
    <n v="6"/>
    <n v="4"/>
    <s v="hummock_4"/>
    <x v="0"/>
    <s v="Grasses, sedges and rushes"/>
    <x v="6"/>
    <s v="Hare’s-tail Cottongrass"/>
    <n v="8"/>
  </r>
  <r>
    <n v="6"/>
    <n v="4"/>
    <s v="hummock_4"/>
    <x v="0"/>
    <s v="Forbs &amp; dwarf shrubs"/>
    <x v="9"/>
    <s v="Bog Rosemary"/>
    <n v="4"/>
  </r>
  <r>
    <n v="6"/>
    <n v="4"/>
    <s v="hummock_4"/>
    <x v="0"/>
    <s v="Forbs &amp; dwarf shrubs"/>
    <x v="3"/>
    <s v="Heather "/>
    <n v="1"/>
  </r>
  <r>
    <n v="6"/>
    <n v="4"/>
    <s v="hummock_4"/>
    <x v="0"/>
    <s v="Forbs &amp; dwarf shrubs"/>
    <x v="4"/>
    <s v="Cross-leaved Heath"/>
    <n v="5"/>
  </r>
  <r>
    <n v="6"/>
    <n v="4"/>
    <s v="hummock_4"/>
    <x v="0"/>
    <s v="Forbs &amp; dwarf shrubs"/>
    <x v="0"/>
    <s v="Bog Asphodel"/>
    <n v="4"/>
  </r>
  <r>
    <n v="6"/>
    <n v="4"/>
    <s v="hummock_4"/>
    <x v="0"/>
    <s v="Forbs &amp; dwarf shrubs"/>
    <x v="2"/>
    <s v="Cranberry"/>
    <n v="8"/>
  </r>
  <r>
    <n v="6"/>
    <n v="4"/>
    <s v="hummock_4"/>
    <x v="0"/>
    <s v="Shrubs and Trees"/>
    <x v="10"/>
    <s v="Scots Pine"/>
    <n v="1"/>
  </r>
  <r>
    <n v="6"/>
    <n v="4"/>
    <s v="hummock_4"/>
    <x v="0"/>
    <s v="Bryophytes"/>
    <x v="7"/>
    <m/>
    <n v="7"/>
  </r>
  <r>
    <n v="6"/>
    <n v="4"/>
    <s v="hummock_4"/>
    <x v="0"/>
    <s v="Bryophytes"/>
    <x v="11"/>
    <m/>
    <n v="2"/>
  </r>
  <r>
    <n v="6"/>
    <n v="5"/>
    <s v="Hummock_5"/>
    <x v="0"/>
    <s v="Forbs &amp; dwarf shrubs"/>
    <x v="3"/>
    <s v="Heather "/>
    <n v="4"/>
  </r>
  <r>
    <n v="6"/>
    <n v="5"/>
    <s v="Hummock_5"/>
    <x v="0"/>
    <s v="Forbs &amp; dwarf shrubs"/>
    <x v="4"/>
    <s v="Cross-leaved Heath"/>
    <n v="7"/>
  </r>
  <r>
    <n v="6"/>
    <n v="5"/>
    <s v="Hummock_5"/>
    <x v="0"/>
    <s v="Forbs &amp; dwarf shrubs"/>
    <x v="0"/>
    <s v="Bog Asphodel"/>
    <n v="5"/>
  </r>
  <r>
    <n v="6"/>
    <n v="5"/>
    <s v="Hummock_5"/>
    <x v="0"/>
    <s v="Forbs &amp; dwarf shrubs"/>
    <x v="2"/>
    <s v="Cranberry"/>
    <n v="5"/>
  </r>
  <r>
    <n v="6"/>
    <n v="5"/>
    <s v="Hummock_5"/>
    <x v="0"/>
    <s v="Shrubs and Trees"/>
    <x v="5"/>
    <s v="Downy Birch"/>
    <n v="1"/>
  </r>
  <r>
    <n v="6"/>
    <n v="5"/>
    <s v="Hummock_5"/>
    <x v="0"/>
    <s v="Bryophytes"/>
    <x v="8"/>
    <m/>
    <n v="2"/>
  </r>
  <r>
    <n v="6"/>
    <n v="5"/>
    <s v="Hummock_5"/>
    <x v="0"/>
    <s v="Bryophytes"/>
    <x v="11"/>
    <m/>
    <n v="10"/>
  </r>
  <r>
    <n v="6"/>
    <n v="5"/>
    <s v="Hummock_5"/>
    <x v="0"/>
    <s v="Lichens"/>
    <x v="12"/>
    <m/>
    <n v="8"/>
  </r>
  <r>
    <n v="6"/>
    <n v="1"/>
    <s v="hollow_1"/>
    <x v="1"/>
    <s v="Grasses, sedges and rushes"/>
    <x v="6"/>
    <s v="Hare’s-tail Cottongrass"/>
    <n v="1"/>
  </r>
  <r>
    <n v="6"/>
    <n v="1"/>
    <s v="hollow_1"/>
    <x v="1"/>
    <s v="Forbs &amp; dwarf shrubs"/>
    <x v="3"/>
    <s v="Heather "/>
    <n v="4"/>
  </r>
  <r>
    <n v="6"/>
    <n v="1"/>
    <s v="hollow_1"/>
    <x v="1"/>
    <s v="Forbs &amp; dwarf shrubs"/>
    <x v="13"/>
    <s v="Round-leaved Sundew"/>
    <n v="1"/>
  </r>
  <r>
    <n v="6"/>
    <n v="1"/>
    <s v="hollow_1"/>
    <x v="1"/>
    <s v="Forbs &amp; dwarf shrubs"/>
    <x v="0"/>
    <s v="Bog Asphodel"/>
    <n v="1"/>
  </r>
  <r>
    <n v="6"/>
    <n v="1"/>
    <s v="hollow_1"/>
    <x v="1"/>
    <s v="Forbs &amp; dwarf shrubs"/>
    <x v="2"/>
    <s v="Cranberry"/>
    <n v="1"/>
  </r>
  <r>
    <n v="6"/>
    <n v="1"/>
    <s v="hollow_1"/>
    <x v="1"/>
    <s v="Bryophytes"/>
    <x v="14"/>
    <m/>
    <n v="2"/>
  </r>
  <r>
    <n v="6"/>
    <n v="1"/>
    <s v="hollow_1"/>
    <x v="1"/>
    <s v="Bryophytes"/>
    <x v="8"/>
    <m/>
    <n v="7"/>
  </r>
  <r>
    <n v="6"/>
    <n v="1"/>
    <s v="hollow_1"/>
    <x v="1"/>
    <s v="Bryophytes"/>
    <x v="11"/>
    <m/>
    <n v="7"/>
  </r>
  <r>
    <n v="6"/>
    <n v="1"/>
    <s v="hollow_1"/>
    <x v="1"/>
    <s v="Bryophytes"/>
    <x v="11"/>
    <m/>
    <n v="4"/>
  </r>
  <r>
    <n v="6"/>
    <n v="2"/>
    <s v="hollow_2"/>
    <x v="1"/>
    <s v="Grasses, sedges and rushes"/>
    <x v="6"/>
    <s v="Hare’s-tail Cottongrass"/>
    <n v="3"/>
  </r>
  <r>
    <n v="6"/>
    <n v="2"/>
    <s v="hollow_2"/>
    <x v="1"/>
    <s v="Forbs &amp; dwarf shrubs"/>
    <x v="9"/>
    <s v="Bog Rosemary"/>
    <n v="2"/>
  </r>
  <r>
    <n v="6"/>
    <n v="2"/>
    <s v="hollow_2"/>
    <x v="1"/>
    <s v="Forbs &amp; dwarf shrubs"/>
    <x v="3"/>
    <s v="Heather"/>
    <n v="5"/>
  </r>
  <r>
    <n v="6"/>
    <n v="2"/>
    <s v="hollow_2"/>
    <x v="1"/>
    <s v="Forbs &amp; dwarf shrubs"/>
    <x v="13"/>
    <s v="Round-leaved Sundew"/>
    <n v="2"/>
  </r>
  <r>
    <n v="6"/>
    <n v="2"/>
    <s v="hollow_2"/>
    <x v="1"/>
    <s v="Forbs &amp; dwarf shrubs"/>
    <x v="4"/>
    <s v="Cross-leaved Heath"/>
    <n v="5"/>
  </r>
  <r>
    <n v="6"/>
    <n v="2"/>
    <s v="hollow_2"/>
    <x v="1"/>
    <s v="Forbs &amp; dwarf shrubs"/>
    <x v="0"/>
    <s v="Bog Asphodel"/>
    <n v="6"/>
  </r>
  <r>
    <n v="6"/>
    <n v="2"/>
    <s v="hollow_2"/>
    <x v="1"/>
    <s v="Forbs &amp; dwarf shrubs"/>
    <x v="2"/>
    <s v="Cranberry"/>
    <n v="1"/>
  </r>
  <r>
    <n v="6"/>
    <n v="2"/>
    <s v="hollow_2"/>
    <x v="1"/>
    <s v="Bryophytes"/>
    <x v="8"/>
    <m/>
    <n v="6"/>
  </r>
  <r>
    <n v="6"/>
    <n v="2"/>
    <s v="hollow_2"/>
    <x v="1"/>
    <s v="Bryophytes"/>
    <x v="11"/>
    <m/>
    <n v="4"/>
  </r>
  <r>
    <n v="6"/>
    <n v="2"/>
    <s v="hollow_2"/>
    <x v="1"/>
    <s v="Bryophytes"/>
    <x v="11"/>
    <m/>
    <n v="7"/>
  </r>
  <r>
    <n v="6"/>
    <n v="3"/>
    <s v="hollow_3"/>
    <x v="1"/>
    <s v="Grasses, sedges and rushes"/>
    <x v="6"/>
    <s v="Hare’s-tail Cottongrass"/>
    <n v="2"/>
  </r>
  <r>
    <n v="6"/>
    <n v="3"/>
    <s v="hollow_3"/>
    <x v="1"/>
    <s v="Forbs &amp; dwarf shrubs"/>
    <x v="3"/>
    <s v="Heather "/>
    <n v="5"/>
  </r>
  <r>
    <n v="6"/>
    <n v="3"/>
    <s v="hollow_3"/>
    <x v="1"/>
    <s v="Forbs &amp; dwarf shrubs"/>
    <x v="13"/>
    <s v="Round-leaved Sundew"/>
    <n v="3"/>
  </r>
  <r>
    <n v="6"/>
    <n v="3"/>
    <s v="hollow_3"/>
    <x v="1"/>
    <s v="Forbs &amp; dwarf shrubs"/>
    <x v="0"/>
    <s v="Bog Asphodel"/>
    <n v="5"/>
  </r>
  <r>
    <n v="6"/>
    <n v="3"/>
    <s v="hollow_3"/>
    <x v="1"/>
    <s v="Forbs &amp; dwarf shrubs"/>
    <x v="2"/>
    <s v="Cranberry"/>
    <n v="1"/>
  </r>
  <r>
    <n v="6"/>
    <n v="3"/>
    <s v="hollow_3"/>
    <x v="1"/>
    <s v="Bryophytes"/>
    <x v="8"/>
    <m/>
    <n v="7"/>
  </r>
  <r>
    <n v="6"/>
    <n v="3"/>
    <s v="hollow_3"/>
    <x v="1"/>
    <s v="Bryophytes"/>
    <x v="11"/>
    <m/>
    <n v="4"/>
  </r>
  <r>
    <n v="6"/>
    <n v="3"/>
    <s v="hollow_3"/>
    <x v="1"/>
    <s v="Lichens"/>
    <x v="15"/>
    <m/>
    <n v="5"/>
  </r>
  <r>
    <n v="6"/>
    <n v="4"/>
    <s v="hollow_4"/>
    <x v="1"/>
    <s v="Grasses, sedges and rushes"/>
    <x v="6"/>
    <s v="Hare’s-tail Cottongrass"/>
    <n v="5"/>
  </r>
  <r>
    <n v="6"/>
    <n v="4"/>
    <s v="hollow_4"/>
    <x v="1"/>
    <s v="Forbs &amp; dwarf shrubs"/>
    <x v="9"/>
    <s v="Bog Rosemary"/>
    <n v="1"/>
  </r>
  <r>
    <n v="6"/>
    <n v="4"/>
    <s v="hollow_4"/>
    <x v="1"/>
    <s v="Forbs &amp; dwarf shrubs"/>
    <x v="3"/>
    <s v="Heather "/>
    <n v="5"/>
  </r>
  <r>
    <n v="6"/>
    <n v="4"/>
    <s v="hollow_4"/>
    <x v="1"/>
    <s v="Forbs &amp; dwarf shrubs"/>
    <x v="2"/>
    <s v="Cranberry"/>
    <n v="2"/>
  </r>
  <r>
    <n v="6"/>
    <n v="4"/>
    <s v="hollow_4"/>
    <x v="1"/>
    <s v="Bryophytes"/>
    <x v="8"/>
    <m/>
    <n v="7"/>
  </r>
  <r>
    <n v="6"/>
    <n v="4"/>
    <s v="hollow_4"/>
    <x v="1"/>
    <s v="Bryophytes"/>
    <x v="11"/>
    <m/>
    <n v="6"/>
  </r>
  <r>
    <n v="6"/>
    <n v="4"/>
    <s v="hollow_4"/>
    <x v="1"/>
    <s v="Lichens"/>
    <x v="15"/>
    <m/>
    <n v="8"/>
  </r>
  <r>
    <n v="6"/>
    <n v="5"/>
    <s v="hollow_5"/>
    <x v="1"/>
    <s v="Grasses, sedges and rushes"/>
    <x v="6"/>
    <s v="Hare’s-tail Cottongrass"/>
    <n v="8"/>
  </r>
  <r>
    <n v="6"/>
    <n v="5"/>
    <s v="hollow_5"/>
    <x v="1"/>
    <s v="Grasses, sedges and rushes"/>
    <x v="16"/>
    <s v="Purple Moor-grass"/>
    <n v="5"/>
  </r>
  <r>
    <n v="6"/>
    <n v="5"/>
    <s v="hollow_5"/>
    <x v="1"/>
    <s v="Forbs &amp; dwarf shrubs"/>
    <x v="9"/>
    <s v="Bog Rosemary"/>
    <n v="1"/>
  </r>
  <r>
    <n v="6"/>
    <n v="5"/>
    <s v="hollow_5"/>
    <x v="1"/>
    <s v="Forbs &amp; dwarf shrubs"/>
    <x v="0"/>
    <s v="Bog Asphodel"/>
    <n v="4"/>
  </r>
  <r>
    <n v="6"/>
    <n v="5"/>
    <s v="hollow_5"/>
    <x v="1"/>
    <s v="Forbs &amp; dwarf shrubs"/>
    <x v="2"/>
    <s v="Cranberry"/>
    <n v="4"/>
  </r>
  <r>
    <n v="6"/>
    <n v="5"/>
    <s v="hollow_5"/>
    <x v="1"/>
    <s v="Bryophytes"/>
    <x v="8"/>
    <m/>
    <n v="6"/>
  </r>
  <r>
    <n v="6"/>
    <n v="5"/>
    <s v="hollow_5"/>
    <x v="1"/>
    <s v="Bryophytes"/>
    <x v="11"/>
    <m/>
    <n v="7"/>
  </r>
  <r>
    <n v="3"/>
    <m/>
    <s v="hummock_1"/>
    <x v="0"/>
    <m/>
    <x v="17"/>
    <s v="Deergrass"/>
    <n v="10"/>
  </r>
  <r>
    <n v="3"/>
    <m/>
    <s v="hummock_1"/>
    <x v="0"/>
    <m/>
    <x v="4"/>
    <s v="Cross-leaved Heath"/>
    <n v="3"/>
  </r>
  <r>
    <n v="3"/>
    <m/>
    <s v="hummock_1"/>
    <x v="0"/>
    <m/>
    <x v="2"/>
    <s v="Cranberry"/>
    <n v="3"/>
  </r>
  <r>
    <n v="3"/>
    <m/>
    <s v="hummock_1"/>
    <x v="0"/>
    <m/>
    <x v="18"/>
    <m/>
    <n v="9"/>
  </r>
  <r>
    <n v="3"/>
    <m/>
    <s v="hummock_2"/>
    <x v="0"/>
    <m/>
    <x v="17"/>
    <s v="Deergrass"/>
    <n v="9"/>
  </r>
  <r>
    <n v="3"/>
    <m/>
    <s v="hummock_2"/>
    <x v="0"/>
    <m/>
    <x v="3"/>
    <s v="Heather"/>
    <n v="5"/>
  </r>
  <r>
    <n v="3"/>
    <m/>
    <s v="hummock_2"/>
    <x v="0"/>
    <m/>
    <x v="4"/>
    <s v="Cross-leaved Heath"/>
    <n v="4"/>
  </r>
  <r>
    <n v="3"/>
    <m/>
    <s v="hummock_2"/>
    <x v="0"/>
    <m/>
    <x v="0"/>
    <s v="Bog Asphodel"/>
    <n v="5"/>
  </r>
  <r>
    <n v="3"/>
    <m/>
    <s v="hummock_2"/>
    <x v="0"/>
    <m/>
    <x v="2"/>
    <s v="Cranberry"/>
    <n v="4"/>
  </r>
  <r>
    <n v="3"/>
    <m/>
    <s v="hummock_2"/>
    <x v="0"/>
    <m/>
    <x v="18"/>
    <m/>
    <n v="7"/>
  </r>
  <r>
    <n v="3"/>
    <m/>
    <s v="hummock_3"/>
    <x v="0"/>
    <m/>
    <x v="6"/>
    <s v="Hare’s-tail Cottongrass"/>
    <n v="5"/>
  </r>
  <r>
    <n v="3"/>
    <m/>
    <s v="hummock_3"/>
    <x v="0"/>
    <m/>
    <x v="3"/>
    <s v="Heather"/>
    <n v="7"/>
  </r>
  <r>
    <n v="3"/>
    <m/>
    <s v="hummock_3"/>
    <x v="0"/>
    <m/>
    <x v="4"/>
    <s v="Cross-leaved Heath"/>
    <n v="5"/>
  </r>
  <r>
    <n v="3"/>
    <m/>
    <s v="hummock_3"/>
    <x v="0"/>
    <m/>
    <x v="18"/>
    <m/>
    <n v="8"/>
  </r>
  <r>
    <n v="3"/>
    <m/>
    <s v="hummock_3"/>
    <x v="0"/>
    <m/>
    <x v="12"/>
    <m/>
    <n v="6"/>
  </r>
  <r>
    <n v="3"/>
    <m/>
    <s v="hummock_4"/>
    <x v="0"/>
    <m/>
    <x v="6"/>
    <s v="Hare’s-tail Cottongrass"/>
    <n v="7"/>
  </r>
  <r>
    <n v="3"/>
    <m/>
    <s v="hummock_4"/>
    <x v="0"/>
    <m/>
    <x v="17"/>
    <s v="Deergrass"/>
    <n v="5"/>
  </r>
  <r>
    <n v="3"/>
    <m/>
    <s v="hummock_4"/>
    <x v="0"/>
    <m/>
    <x v="3"/>
    <s v="Heather"/>
    <n v="5"/>
  </r>
  <r>
    <n v="3"/>
    <m/>
    <s v="hummock_4"/>
    <x v="0"/>
    <m/>
    <x v="0"/>
    <s v="Bog Asphodel"/>
    <n v="8"/>
  </r>
  <r>
    <n v="3"/>
    <m/>
    <s v="hummock_4"/>
    <x v="0"/>
    <m/>
    <x v="18"/>
    <m/>
    <n v="7"/>
  </r>
  <r>
    <n v="3"/>
    <m/>
    <s v="hummock_4"/>
    <x v="0"/>
    <m/>
    <x v="12"/>
    <m/>
    <n v="8"/>
  </r>
  <r>
    <n v="3"/>
    <m/>
    <s v="Hummock_5"/>
    <x v="0"/>
    <m/>
    <x v="6"/>
    <s v="Hare’s-tail Cottongrass"/>
    <n v="8"/>
  </r>
  <r>
    <n v="3"/>
    <m/>
    <s v="Hummock_5"/>
    <x v="0"/>
    <m/>
    <x v="3"/>
    <s v="Heather"/>
    <n v="8"/>
  </r>
  <r>
    <n v="3"/>
    <m/>
    <s v="Hummock_5"/>
    <x v="0"/>
    <m/>
    <x v="4"/>
    <s v="Cross-leaved Heath"/>
    <n v="6"/>
  </r>
  <r>
    <n v="3"/>
    <m/>
    <s v="Hummock_5"/>
    <x v="0"/>
    <m/>
    <x v="1"/>
    <s v="Bilberry"/>
    <n v="2"/>
  </r>
  <r>
    <n v="3"/>
    <m/>
    <s v="Hummock_5"/>
    <x v="0"/>
    <m/>
    <x v="2"/>
    <s v="Cranberry"/>
    <n v="4"/>
  </r>
  <r>
    <n v="3"/>
    <m/>
    <s v="Hummock_5"/>
    <x v="0"/>
    <m/>
    <x v="18"/>
    <m/>
    <n v="9"/>
  </r>
  <r>
    <n v="3"/>
    <m/>
    <s v="Hummock_5"/>
    <x v="0"/>
    <m/>
    <x v="12"/>
    <m/>
    <n v="8"/>
  </r>
  <r>
    <n v="3"/>
    <m/>
    <s v="hollow_1"/>
    <x v="1"/>
    <m/>
    <x v="6"/>
    <s v="Hare’s-tail Cottongrass"/>
    <n v="9"/>
  </r>
  <r>
    <n v="3"/>
    <m/>
    <s v="hollow_1"/>
    <x v="1"/>
    <m/>
    <x v="9"/>
    <s v="Bog Rosemary"/>
    <n v="2"/>
  </r>
  <r>
    <n v="3"/>
    <m/>
    <s v="hollow_1"/>
    <x v="1"/>
    <m/>
    <x v="3"/>
    <s v="Heather"/>
    <n v="2"/>
  </r>
  <r>
    <n v="3"/>
    <m/>
    <s v="hollow_1"/>
    <x v="1"/>
    <m/>
    <x v="2"/>
    <s v="Cranberry"/>
    <n v="2"/>
  </r>
  <r>
    <n v="3"/>
    <m/>
    <s v="hollow_1"/>
    <x v="1"/>
    <m/>
    <x v="18"/>
    <m/>
    <n v="9"/>
  </r>
  <r>
    <n v="3"/>
    <m/>
    <s v="hollow_2"/>
    <x v="1"/>
    <m/>
    <x v="6"/>
    <s v="Hare’s-tail Cottongrass"/>
    <n v="7"/>
  </r>
  <r>
    <n v="3"/>
    <m/>
    <s v="hollow_2"/>
    <x v="1"/>
    <m/>
    <x v="3"/>
    <s v="Heather"/>
    <n v="4"/>
  </r>
  <r>
    <n v="3"/>
    <m/>
    <s v="hollow_2"/>
    <x v="1"/>
    <m/>
    <x v="2"/>
    <s v="Cranberry"/>
    <n v="2"/>
  </r>
  <r>
    <n v="3"/>
    <m/>
    <s v="hollow_2"/>
    <x v="1"/>
    <m/>
    <x v="18"/>
    <m/>
    <n v="9"/>
  </r>
  <r>
    <n v="3"/>
    <m/>
    <s v="hollow_3"/>
    <x v="1"/>
    <m/>
    <x v="19"/>
    <s v="Common Cottongrass"/>
    <n v="6"/>
  </r>
  <r>
    <n v="3"/>
    <m/>
    <s v="hollow_3"/>
    <x v="1"/>
    <m/>
    <x v="6"/>
    <s v="Hare’s-tail Cottongrass"/>
    <n v="8"/>
  </r>
  <r>
    <n v="3"/>
    <m/>
    <s v="hollow_3"/>
    <x v="1"/>
    <m/>
    <x v="2"/>
    <s v="Cranberry"/>
    <n v="5"/>
  </r>
  <r>
    <n v="3"/>
    <m/>
    <s v="hollow_3"/>
    <x v="1"/>
    <m/>
    <x v="18"/>
    <m/>
    <n v="9"/>
  </r>
  <r>
    <n v="3"/>
    <m/>
    <s v="hollow_4"/>
    <x v="1"/>
    <m/>
    <x v="6"/>
    <s v="Hare’s-tail Cottongrass"/>
    <n v="8"/>
  </r>
  <r>
    <n v="3"/>
    <m/>
    <s v="hollow_4"/>
    <x v="1"/>
    <m/>
    <x v="3"/>
    <s v="Heather"/>
    <n v="6"/>
  </r>
  <r>
    <n v="3"/>
    <m/>
    <s v="hollow_4"/>
    <x v="1"/>
    <m/>
    <x v="4"/>
    <s v="Cross-leaved Heath"/>
    <n v="6"/>
  </r>
  <r>
    <n v="3"/>
    <m/>
    <s v="hollow_4"/>
    <x v="1"/>
    <m/>
    <x v="2"/>
    <s v="Cranberry"/>
    <n v="4"/>
  </r>
  <r>
    <n v="3"/>
    <m/>
    <s v="hollow_4"/>
    <x v="1"/>
    <m/>
    <x v="7"/>
    <m/>
    <n v="8"/>
  </r>
  <r>
    <n v="3"/>
    <m/>
    <s v="hollow_4"/>
    <x v="1"/>
    <m/>
    <x v="18"/>
    <m/>
    <n v="9"/>
  </r>
  <r>
    <n v="3"/>
    <m/>
    <s v="hollow_4"/>
    <x v="1"/>
    <m/>
    <x v="12"/>
    <m/>
    <n v="3"/>
  </r>
  <r>
    <n v="3"/>
    <m/>
    <s v="hollow_5"/>
    <x v="1"/>
    <m/>
    <x v="6"/>
    <s v="Hare’s-tail Cottongrass"/>
    <n v="9"/>
  </r>
  <r>
    <n v="3"/>
    <m/>
    <s v="hollow_5"/>
    <x v="1"/>
    <m/>
    <x v="3"/>
    <s v="Heather"/>
    <n v="6"/>
  </r>
  <r>
    <n v="3"/>
    <m/>
    <s v="hollow_5"/>
    <x v="1"/>
    <m/>
    <x v="4"/>
    <s v="Cross-leaved Heath"/>
    <n v="5"/>
  </r>
  <r>
    <n v="3"/>
    <m/>
    <s v="hollow_5"/>
    <x v="1"/>
    <m/>
    <x v="0"/>
    <s v="Bog Asphodel"/>
    <n v="4"/>
  </r>
  <r>
    <n v="3"/>
    <m/>
    <s v="hollow_5"/>
    <x v="1"/>
    <m/>
    <x v="2"/>
    <s v="Cranberry"/>
    <n v="3"/>
  </r>
  <r>
    <n v="3"/>
    <m/>
    <s v="hollow_5"/>
    <x v="1"/>
    <m/>
    <x v="18"/>
    <m/>
    <n v="10"/>
  </r>
  <r>
    <n v="2"/>
    <n v="1"/>
    <s v="hummock_1"/>
    <x v="0"/>
    <s v="Forbs &amp; dwarf shrubs"/>
    <x v="3"/>
    <s v="Heather"/>
    <n v="8"/>
  </r>
  <r>
    <n v="2"/>
    <n v="1"/>
    <s v="hummock_1"/>
    <x v="0"/>
    <s v="Forbs &amp; dwarf shrubs"/>
    <x v="2"/>
    <s v="Cranberry"/>
    <n v="3"/>
  </r>
  <r>
    <n v="2"/>
    <n v="1"/>
    <s v="hummock_1"/>
    <x v="0"/>
    <s v="Bryophytes"/>
    <x v="8"/>
    <m/>
    <n v="5"/>
  </r>
  <r>
    <n v="2"/>
    <n v="2"/>
    <s v="hummock_2"/>
    <x v="0"/>
    <s v="Grasses, sedges and rushes"/>
    <x v="6"/>
    <s v="Hare’s-tail Cottongrass"/>
    <n v="10"/>
  </r>
  <r>
    <n v="2"/>
    <n v="2"/>
    <s v="hummock_2"/>
    <x v="0"/>
    <s v="Forbs &amp; dwarf shrubs"/>
    <x v="9"/>
    <s v="Bog-rosemary"/>
    <n v="2"/>
  </r>
  <r>
    <n v="2"/>
    <n v="2"/>
    <s v="hummock_2"/>
    <x v="0"/>
    <s v="Forbs &amp; dwarf shrubs"/>
    <x v="3"/>
    <s v="Heather"/>
    <n v="5"/>
  </r>
  <r>
    <n v="2"/>
    <n v="2"/>
    <s v="hummock_2"/>
    <x v="0"/>
    <s v="Forbs &amp; dwarf shrubs"/>
    <x v="2"/>
    <s v="Cranberry"/>
    <n v="2"/>
  </r>
  <r>
    <n v="2"/>
    <n v="2"/>
    <s v="hummock_2"/>
    <x v="0"/>
    <s v="Bryophytes"/>
    <x v="8"/>
    <m/>
    <n v="5"/>
  </r>
  <r>
    <n v="2"/>
    <n v="3"/>
    <s v="hummock_3"/>
    <x v="0"/>
    <s v="Grasses, sedges and rushes"/>
    <x v="6"/>
    <s v="Hare’s-tail Cottongrass"/>
    <n v="9"/>
  </r>
  <r>
    <n v="2"/>
    <n v="3"/>
    <s v="hummock_3"/>
    <x v="0"/>
    <s v="Grasses, sedges and rushes"/>
    <x v="17"/>
    <s v="Deergrass"/>
    <n v="4"/>
  </r>
  <r>
    <n v="2"/>
    <n v="3"/>
    <s v="hummock_3"/>
    <x v="0"/>
    <s v="Forbs &amp; dwarf shrubs"/>
    <x v="4"/>
    <s v="Cross-leaved Heath"/>
    <n v="3"/>
  </r>
  <r>
    <n v="2"/>
    <n v="3"/>
    <s v="hummock_3"/>
    <x v="0"/>
    <s v="Forbs &amp; dwarf shrubs"/>
    <x v="2"/>
    <s v="Cranberry"/>
    <n v="5"/>
  </r>
  <r>
    <n v="2"/>
    <n v="4"/>
    <s v="hummock_4"/>
    <x v="0"/>
    <s v="Grasses, sedges and rushes"/>
    <x v="6"/>
    <s v="Hare’s-tail Cottongrass"/>
    <n v="5"/>
  </r>
  <r>
    <n v="2"/>
    <n v="4"/>
    <s v="hummock_4"/>
    <x v="0"/>
    <s v="Forbs &amp; dwarf shrubs"/>
    <x v="9"/>
    <s v="Bog-rosemary"/>
    <n v="3"/>
  </r>
  <r>
    <n v="2"/>
    <n v="4"/>
    <s v="hummock_4"/>
    <x v="0"/>
    <s v="Forbs &amp; dwarf shrubs"/>
    <x v="3"/>
    <s v="Heather"/>
    <n v="5"/>
  </r>
  <r>
    <n v="2"/>
    <n v="4"/>
    <s v="hummock_4"/>
    <x v="0"/>
    <s v="Forbs &amp; dwarf shrubs"/>
    <x v="2"/>
    <s v="Cranberry"/>
    <n v="3"/>
  </r>
  <r>
    <n v="2"/>
    <n v="4"/>
    <s v="hummock_4"/>
    <x v="0"/>
    <s v="Bryophytes"/>
    <x v="7"/>
    <m/>
    <n v="5"/>
  </r>
  <r>
    <n v="2"/>
    <n v="4"/>
    <s v="hummock_4"/>
    <x v="0"/>
    <s v="Lichens"/>
    <x v="15"/>
    <m/>
    <n v="2"/>
  </r>
  <r>
    <n v="2"/>
    <n v="5"/>
    <s v="Hummock_5"/>
    <x v="0"/>
    <s v="Grasses, sedges and rushes"/>
    <x v="6"/>
    <s v="Hare’s-tail Cottongrass"/>
    <n v="8"/>
  </r>
  <r>
    <n v="2"/>
    <n v="5"/>
    <s v="Hummock_5"/>
    <x v="0"/>
    <s v="Forbs &amp; dwarf shrubs"/>
    <x v="9"/>
    <s v="Bog-rosemary"/>
    <n v="1"/>
  </r>
  <r>
    <n v="2"/>
    <n v="5"/>
    <s v="Hummock_5"/>
    <x v="0"/>
    <s v="Forbs &amp; dwarf shrubs"/>
    <x v="3"/>
    <s v="Heather"/>
    <n v="6"/>
  </r>
  <r>
    <n v="2"/>
    <n v="5"/>
    <s v="Hummock_5"/>
    <x v="0"/>
    <s v="Forbs &amp; dwarf shrubs"/>
    <x v="4"/>
    <s v="Cross-leaved Heath"/>
    <n v="5"/>
  </r>
  <r>
    <n v="2"/>
    <n v="5"/>
    <s v="Hummock_5"/>
    <x v="0"/>
    <s v="Forbs &amp; dwarf shrubs"/>
    <x v="2"/>
    <s v="Cranberry"/>
    <n v="5"/>
  </r>
  <r>
    <n v="2"/>
    <n v="5"/>
    <s v="Hummock_5"/>
    <x v="0"/>
    <s v="Bryophytes"/>
    <x v="7"/>
    <m/>
    <n v="7"/>
  </r>
  <r>
    <n v="2"/>
    <n v="6"/>
    <s v="hollow_1"/>
    <x v="1"/>
    <s v="Grasses, sedges and rushes"/>
    <x v="16"/>
    <s v="Purple Moor-grass"/>
    <n v="3"/>
  </r>
  <r>
    <n v="2"/>
    <n v="6"/>
    <s v="hollow_1"/>
    <x v="1"/>
    <s v="Grasses, sedges and rushes"/>
    <x v="17"/>
    <s v="Deergrass"/>
    <n v="7"/>
  </r>
  <r>
    <n v="2"/>
    <n v="6"/>
    <s v="hollow_1"/>
    <x v="1"/>
    <s v="Forbs &amp; dwarf shrubs"/>
    <x v="9"/>
    <s v="Bog-rosemary"/>
    <n v="1"/>
  </r>
  <r>
    <n v="2"/>
    <n v="6"/>
    <s v="hollow_1"/>
    <x v="1"/>
    <s v="Forbs &amp; dwarf shrubs"/>
    <x v="4"/>
    <s v="Cross-leaved Heath"/>
    <n v="2"/>
  </r>
  <r>
    <n v="2"/>
    <n v="6"/>
    <s v="hollow_1"/>
    <x v="1"/>
    <s v="Forbs &amp; dwarf shrubs"/>
    <x v="0"/>
    <s v="Bog Asphodel"/>
    <n v="2"/>
  </r>
  <r>
    <n v="2"/>
    <n v="6"/>
    <s v="hollow_1"/>
    <x v="1"/>
    <s v="Bryophytes"/>
    <x v="8"/>
    <m/>
    <n v="8"/>
  </r>
  <r>
    <n v="2"/>
    <n v="6"/>
    <s v="hollow_1"/>
    <x v="1"/>
    <s v="Bryophytes"/>
    <x v="11"/>
    <m/>
    <n v="4"/>
  </r>
  <r>
    <n v="2"/>
    <n v="7"/>
    <s v="hollow_2"/>
    <x v="1"/>
    <s v="Grasses, sedges and rushes"/>
    <x v="6"/>
    <s v="Hare’s-tail Cottongrass"/>
    <n v="6"/>
  </r>
  <r>
    <n v="2"/>
    <n v="7"/>
    <s v="hollow_2"/>
    <x v="1"/>
    <s v="Forbs &amp; dwarf shrubs"/>
    <x v="9"/>
    <s v="Bog-rosemary"/>
    <n v="2"/>
  </r>
  <r>
    <n v="2"/>
    <n v="7"/>
    <s v="hollow_2"/>
    <x v="1"/>
    <s v="Forbs &amp; dwarf shrubs"/>
    <x v="3"/>
    <s v="Heather"/>
    <n v="2"/>
  </r>
  <r>
    <n v="2"/>
    <n v="7"/>
    <s v="hollow_2"/>
    <x v="1"/>
    <s v="Forbs &amp; dwarf shrubs"/>
    <x v="2"/>
    <s v="Cranberry"/>
    <n v="3"/>
  </r>
  <r>
    <n v="2"/>
    <n v="7"/>
    <s v="hollow_2"/>
    <x v="1"/>
    <s v="Bryophytes"/>
    <x v="8"/>
    <m/>
    <n v="4"/>
  </r>
  <r>
    <n v="2"/>
    <n v="7"/>
    <s v="hollow_2"/>
    <x v="1"/>
    <s v="Bryophytes"/>
    <x v="11"/>
    <m/>
    <n v="7"/>
  </r>
  <r>
    <n v="2"/>
    <n v="8"/>
    <s v="hollow_3"/>
    <x v="1"/>
    <s v="Grasses, sedges and rushes"/>
    <x v="6"/>
    <s v="Hare’s-tail Cottongrass"/>
    <n v="4"/>
  </r>
  <r>
    <n v="2"/>
    <n v="8"/>
    <s v="hollow_3"/>
    <x v="1"/>
    <s v="Grasses, sedges and rushes"/>
    <x v="16"/>
    <s v="Purple Moor-grass"/>
    <n v="4"/>
  </r>
  <r>
    <n v="2"/>
    <n v="8"/>
    <s v="hollow_3"/>
    <x v="1"/>
    <s v="Forbs &amp; dwarf shrubs"/>
    <x v="3"/>
    <s v="Heather"/>
    <n v="4"/>
  </r>
  <r>
    <n v="2"/>
    <n v="8"/>
    <s v="hollow_3"/>
    <x v="1"/>
    <s v="Forbs &amp; dwarf shrubs"/>
    <x v="2"/>
    <s v="Cranberry"/>
    <n v="3"/>
  </r>
  <r>
    <n v="2"/>
    <n v="8"/>
    <s v="hollow_3"/>
    <x v="1"/>
    <s v="Bryophytes"/>
    <x v="8"/>
    <m/>
    <n v="5"/>
  </r>
  <r>
    <n v="2"/>
    <n v="9"/>
    <s v="hollow_4"/>
    <x v="1"/>
    <s v="Grasses, sedges and rushes"/>
    <x v="6"/>
    <s v="Hare’s-tail Cottongrass"/>
    <n v="5"/>
  </r>
  <r>
    <n v="2"/>
    <n v="9"/>
    <s v="hollow_4"/>
    <x v="1"/>
    <s v="Grasses, sedges and rushes"/>
    <x v="17"/>
    <s v="Deergrass"/>
    <n v="4"/>
  </r>
  <r>
    <n v="2"/>
    <n v="9"/>
    <s v="hollow_4"/>
    <x v="1"/>
    <s v="Forbs &amp; dwarf shrubs"/>
    <x v="3"/>
    <s v="Heather"/>
    <n v="5"/>
  </r>
  <r>
    <n v="2"/>
    <n v="9"/>
    <s v="hollow_4"/>
    <x v="1"/>
    <s v="Forbs &amp; dwarf shrubs"/>
    <x v="13"/>
    <s v="Round-leaved Sundew"/>
    <n v="1"/>
  </r>
  <r>
    <n v="2"/>
    <n v="9"/>
    <s v="hollow_4"/>
    <x v="1"/>
    <s v="Forbs &amp; dwarf shrubs"/>
    <x v="4"/>
    <s v="Cross-leaved Heath"/>
    <n v="6"/>
  </r>
  <r>
    <n v="2"/>
    <n v="9"/>
    <s v="hollow_4"/>
    <x v="1"/>
    <s v="Forbs &amp; dwarf shrubs"/>
    <x v="2"/>
    <s v="Cranberry"/>
    <n v="2"/>
  </r>
  <r>
    <n v="2"/>
    <n v="9"/>
    <s v="hollow_4"/>
    <x v="1"/>
    <s v="Lichens"/>
    <x v="15"/>
    <m/>
    <n v="1"/>
  </r>
  <r>
    <n v="2"/>
    <n v="10"/>
    <s v="hollow_5"/>
    <x v="1"/>
    <s v="Grasses, sedges and rushes"/>
    <x v="16"/>
    <s v="Purple Moor-grass"/>
    <n v="4"/>
  </r>
  <r>
    <n v="2"/>
    <n v="10"/>
    <s v="hollow_5"/>
    <x v="1"/>
    <s v="Forbs &amp; dwarf shrubs"/>
    <x v="3"/>
    <s v="Heather"/>
    <n v="5"/>
  </r>
  <r>
    <n v="2"/>
    <n v="10"/>
    <s v="hollow_5"/>
    <x v="1"/>
    <s v="Forbs &amp; dwarf shrubs"/>
    <x v="13"/>
    <s v="Round-leaved Sundew"/>
    <n v="2"/>
  </r>
  <r>
    <n v="2"/>
    <n v="10"/>
    <s v="hollow_5"/>
    <x v="1"/>
    <s v="Forbs &amp; dwarf shrubs"/>
    <x v="4"/>
    <s v="Cross-leaved Heath"/>
    <n v="1"/>
  </r>
  <r>
    <n v="2"/>
    <n v="10"/>
    <s v="hollow_5"/>
    <x v="1"/>
    <s v="Forbs &amp; dwarf shrubs"/>
    <x v="2"/>
    <s v="Cranberry"/>
    <n v="2"/>
  </r>
  <r>
    <n v="2"/>
    <n v="10"/>
    <s v="hollow_5"/>
    <x v="1"/>
    <s v="Bryophytes"/>
    <x v="8"/>
    <m/>
    <n v="5"/>
  </r>
  <r>
    <n v="2"/>
    <n v="10"/>
    <s v="hollow_5"/>
    <x v="1"/>
    <s v="Lichens"/>
    <x v="15"/>
    <m/>
    <n v="7"/>
  </r>
  <r>
    <n v="2"/>
    <n v="10"/>
    <s v="hollow_5"/>
    <x v="1"/>
    <s v="Lichens"/>
    <x v="12"/>
    <m/>
    <n v="2"/>
  </r>
  <r>
    <n v="4"/>
    <n v="1"/>
    <s v="hummock_1"/>
    <x v="0"/>
    <s v="Grasses, sedges and rushes"/>
    <x v="19"/>
    <s v="Common Cottongrass"/>
    <n v="4"/>
  </r>
  <r>
    <n v="4"/>
    <n v="1"/>
    <s v="hummock_1"/>
    <x v="0"/>
    <s v="Grasses, sedges and rushes "/>
    <x v="6"/>
    <s v="Hare's-tale Cottongrass"/>
    <n v="9"/>
  </r>
  <r>
    <n v="4"/>
    <n v="1"/>
    <s v="hummock_1"/>
    <x v="0"/>
    <s v="Forbs and dwarf shrubs"/>
    <x v="9"/>
    <s v="Bog-rosemary "/>
    <n v="1"/>
  </r>
  <r>
    <n v="4"/>
    <n v="1"/>
    <s v="hummock_1"/>
    <x v="0"/>
    <s v="Forbs and dwarf shrubs "/>
    <x v="3"/>
    <s v="Heather "/>
    <n v="5"/>
  </r>
  <r>
    <n v="4"/>
    <n v="1"/>
    <s v="hummock_1"/>
    <x v="0"/>
    <s v="Forbs and dwarf shrubs "/>
    <x v="4"/>
    <s v="Cross-leaved Heath "/>
    <n v="4"/>
  </r>
  <r>
    <n v="4"/>
    <n v="1"/>
    <s v="hummock_1"/>
    <x v="0"/>
    <s v="Bryophytes "/>
    <x v="8"/>
    <m/>
    <n v="7"/>
  </r>
  <r>
    <n v="4"/>
    <n v="1"/>
    <s v="hummock_1"/>
    <x v="0"/>
    <s v="Bryophytes "/>
    <x v="11"/>
    <m/>
    <n v="6"/>
  </r>
  <r>
    <n v="4"/>
    <n v="1"/>
    <s v="hummock_1"/>
    <x v="0"/>
    <s v="Lichen "/>
    <x v="12"/>
    <m/>
    <n v="5"/>
  </r>
  <r>
    <n v="4"/>
    <n v="2"/>
    <s v="hummock_2"/>
    <x v="0"/>
    <s v="Grasses, sedges and rushes "/>
    <x v="19"/>
    <s v="Common Cottongrass"/>
    <n v="3"/>
  </r>
  <r>
    <n v="4"/>
    <n v="2"/>
    <s v="hummock_2"/>
    <x v="0"/>
    <s v="Grasses, sedges and rushes "/>
    <x v="6"/>
    <s v="Hare's-tale Cottongrass"/>
    <n v="9"/>
  </r>
  <r>
    <n v="4"/>
    <n v="2"/>
    <s v="hummock_2"/>
    <x v="0"/>
    <s v="Forbs and dwarf shrubs"/>
    <x v="3"/>
    <s v="Heather "/>
    <n v="7"/>
  </r>
  <r>
    <n v="4"/>
    <n v="2"/>
    <s v="hummock_2"/>
    <x v="0"/>
    <s v="Forbs and dwarf shrubs"/>
    <x v="4"/>
    <s v="Cross-leaved Heath "/>
    <n v="3"/>
  </r>
  <r>
    <n v="4"/>
    <n v="2"/>
    <s v="hummock_2"/>
    <x v="0"/>
    <s v="Forbs and dwarf shrubs"/>
    <x v="0"/>
    <s v="Bog Asphodel"/>
    <n v="4"/>
  </r>
  <r>
    <n v="4"/>
    <n v="2"/>
    <s v="hummock_2"/>
    <x v="0"/>
    <s v="Forbs and dwarf shrubs"/>
    <x v="1"/>
    <s v="Bilberry"/>
    <n v="2"/>
  </r>
  <r>
    <n v="4"/>
    <n v="2"/>
    <s v="hummock_2"/>
    <x v="0"/>
    <s v="Forbs and dwarf shrubs"/>
    <x v="2"/>
    <s v="Cranberry"/>
    <n v="2"/>
  </r>
  <r>
    <n v="4"/>
    <n v="2"/>
    <s v="hummock_2"/>
    <x v="0"/>
    <s v="Shrubs and Trees"/>
    <x v="5"/>
    <s v="Downy Birch"/>
    <n v="2"/>
  </r>
  <r>
    <n v="4"/>
    <n v="2"/>
    <s v="hummock_2"/>
    <x v="0"/>
    <s v="Bryophytes "/>
    <x v="8"/>
    <m/>
    <n v="8"/>
  </r>
  <r>
    <n v="4"/>
    <n v="2"/>
    <s v="hummock_2"/>
    <x v="0"/>
    <s v="Bryophytes "/>
    <x v="11"/>
    <m/>
    <n v="4"/>
  </r>
  <r>
    <n v="4"/>
    <n v="3"/>
    <s v="hummock_3"/>
    <x v="0"/>
    <s v="Grasses, sedges and rushes "/>
    <x v="19"/>
    <s v="Common Cottongrass"/>
    <n v="2"/>
  </r>
  <r>
    <n v="4"/>
    <n v="3"/>
    <s v="hummock_3"/>
    <x v="0"/>
    <s v="Grasses, sedges and rushes "/>
    <x v="6"/>
    <s v="Hare's-tale Cottongrass"/>
    <n v="6"/>
  </r>
  <r>
    <n v="4"/>
    <n v="3"/>
    <s v="hummock_3"/>
    <x v="0"/>
    <s v="Forbs and dwarf shrubs"/>
    <x v="9"/>
    <s v="Bog-rosemary "/>
    <n v="2"/>
  </r>
  <r>
    <n v="4"/>
    <n v="3"/>
    <s v="hummock_3"/>
    <x v="0"/>
    <s v="Forbs and dwarf shrubs"/>
    <x v="3"/>
    <s v="Heather "/>
    <n v="8"/>
  </r>
  <r>
    <n v="4"/>
    <n v="3"/>
    <s v="hummock_3"/>
    <x v="0"/>
    <s v="Forbs and dwarf shrubs"/>
    <x v="4"/>
    <s v="Cross-leaved Heath "/>
    <n v="4"/>
  </r>
  <r>
    <n v="4"/>
    <n v="3"/>
    <s v="hummock_3"/>
    <x v="0"/>
    <s v="Forbs and dwarf shrubs"/>
    <x v="2"/>
    <s v="Cranberry"/>
    <n v="3"/>
  </r>
  <r>
    <n v="4"/>
    <n v="3"/>
    <s v="hummock_3"/>
    <x v="0"/>
    <s v="Bryophytes "/>
    <x v="7"/>
    <m/>
    <n v="4"/>
  </r>
  <r>
    <n v="4"/>
    <n v="3"/>
    <s v="hummock_3"/>
    <x v="0"/>
    <s v="Bryophytes "/>
    <x v="8"/>
    <m/>
    <n v="5"/>
  </r>
  <r>
    <n v="4"/>
    <n v="3"/>
    <s v="hummock_3"/>
    <x v="0"/>
    <s v="Bryophytes "/>
    <x v="11"/>
    <m/>
    <n v="4"/>
  </r>
  <r>
    <n v="4"/>
    <n v="4"/>
    <s v="hummock_4"/>
    <x v="0"/>
    <s v="Grasses, sedges and rushes "/>
    <x v="19"/>
    <s v="Common Cottongrass"/>
    <n v="4"/>
  </r>
  <r>
    <n v="4"/>
    <n v="4"/>
    <s v="hummock_4"/>
    <x v="0"/>
    <s v="Grasses, sedges and rushes "/>
    <x v="6"/>
    <s v="Hare's-tale Cottongrass"/>
    <n v="7"/>
  </r>
  <r>
    <n v="4"/>
    <n v="4"/>
    <s v="hummock_4"/>
    <x v="0"/>
    <s v="Forbs and dwarf shrubs"/>
    <x v="3"/>
    <s v="Heather "/>
    <n v="5"/>
  </r>
  <r>
    <n v="4"/>
    <n v="4"/>
    <s v="hummock_4"/>
    <x v="0"/>
    <s v="Forbs and dwarf shrubs"/>
    <x v="4"/>
    <s v="Cross-leaved Heath "/>
    <n v="3"/>
  </r>
  <r>
    <n v="4"/>
    <n v="4"/>
    <s v="hummock_4"/>
    <x v="0"/>
    <s v="Forbs and dwarf shrubs"/>
    <x v="2"/>
    <s v="Cranberry"/>
    <n v="1"/>
  </r>
  <r>
    <n v="4"/>
    <n v="4"/>
    <s v="hummock_4"/>
    <x v="0"/>
    <s v="Bryophytes "/>
    <x v="8"/>
    <m/>
    <n v="4"/>
  </r>
  <r>
    <n v="4"/>
    <n v="4"/>
    <s v="hummock_4"/>
    <x v="0"/>
    <s v="Bryophytes "/>
    <x v="11"/>
    <m/>
    <n v="2"/>
  </r>
  <r>
    <n v="4"/>
    <n v="4"/>
    <s v="hummock_4"/>
    <x v="0"/>
    <s v="Lichen "/>
    <x v="12"/>
    <m/>
    <n v="2"/>
  </r>
  <r>
    <n v="4"/>
    <n v="5"/>
    <s v="Hummock_5"/>
    <x v="0"/>
    <s v="Grasses, sedges and rushes "/>
    <x v="19"/>
    <s v="Common Cottongrass"/>
    <n v="1"/>
  </r>
  <r>
    <n v="4"/>
    <n v="5"/>
    <s v="Hummock_5"/>
    <x v="0"/>
    <s v="Grasses, sedges and rushes "/>
    <x v="6"/>
    <s v="Hare's-tale Cottongrass"/>
    <n v="5"/>
  </r>
  <r>
    <n v="4"/>
    <n v="5"/>
    <s v="Hummock_5"/>
    <x v="0"/>
    <s v="Forbs and dwarf shrubs"/>
    <x v="9"/>
    <s v="Bog-rosemary "/>
    <n v="2"/>
  </r>
  <r>
    <n v="4"/>
    <n v="5"/>
    <s v="Hummock_5"/>
    <x v="0"/>
    <s v="Forbs and dwarf shrubs"/>
    <x v="3"/>
    <s v="Heather "/>
    <n v="8"/>
  </r>
  <r>
    <n v="4"/>
    <n v="5"/>
    <s v="Hummock_5"/>
    <x v="0"/>
    <s v="Forbs and dwarf shrubs"/>
    <x v="4"/>
    <s v="Cross-leaved Heath "/>
    <n v="2"/>
  </r>
  <r>
    <n v="4"/>
    <n v="5"/>
    <s v="Hummock_5"/>
    <x v="0"/>
    <s v="Forbs and dwarf shrubs"/>
    <x v="2"/>
    <s v="Cranberry"/>
    <n v="1"/>
  </r>
  <r>
    <n v="4"/>
    <n v="5"/>
    <s v="Hummock_5"/>
    <x v="0"/>
    <s v="Bryophytes "/>
    <x v="8"/>
    <m/>
    <n v="7"/>
  </r>
  <r>
    <n v="4"/>
    <n v="5"/>
    <s v="Hummock_5"/>
    <x v="0"/>
    <s v="Bryophytes "/>
    <x v="11"/>
    <m/>
    <n v="2"/>
  </r>
  <r>
    <n v="4"/>
    <n v="1"/>
    <s v="hollow_1"/>
    <x v="1"/>
    <s v="Grasses, sedges and rushes "/>
    <x v="19"/>
    <s v="Common Cottongrass"/>
    <n v="3"/>
  </r>
  <r>
    <n v="4"/>
    <n v="1"/>
    <s v="hollow_1"/>
    <x v="1"/>
    <s v="Grasses, sedges and rushes "/>
    <x v="6"/>
    <s v="Hare's-tale Cottongrass"/>
    <n v="7"/>
  </r>
  <r>
    <n v="4"/>
    <n v="1"/>
    <s v="hollow_1"/>
    <x v="1"/>
    <s v="Forbs and dwarf shrubs"/>
    <x v="3"/>
    <s v="Heather "/>
    <n v="3"/>
  </r>
  <r>
    <n v="4"/>
    <n v="1"/>
    <s v="hollow_1"/>
    <x v="1"/>
    <s v="Forbs and dwarf shrubs"/>
    <x v="4"/>
    <s v="Cross-leaved Heath "/>
    <n v="2"/>
  </r>
  <r>
    <n v="4"/>
    <n v="1"/>
    <s v="hollow_1"/>
    <x v="1"/>
    <s v="Forbs and dwarf shrubs "/>
    <x v="2"/>
    <s v="Cranberry"/>
    <n v="1"/>
  </r>
  <r>
    <n v="4"/>
    <n v="1"/>
    <s v="hollow_1"/>
    <x v="1"/>
    <s v="Bryophytes "/>
    <x v="8"/>
    <m/>
    <n v="5"/>
  </r>
  <r>
    <n v="4"/>
    <n v="1"/>
    <s v="hollow_1"/>
    <x v="1"/>
    <s v="Bryophytes "/>
    <x v="11"/>
    <m/>
    <n v="2"/>
  </r>
  <r>
    <n v="4"/>
    <n v="2"/>
    <s v="hollow_2"/>
    <x v="1"/>
    <s v="Grasses, sedges and rushes "/>
    <x v="19"/>
    <s v="Common Cottongrass"/>
    <n v="1"/>
  </r>
  <r>
    <n v="4"/>
    <n v="2"/>
    <s v="hollow_2"/>
    <x v="1"/>
    <s v="Grasses, sedges and rushes "/>
    <x v="6"/>
    <s v="Hare's-tale Cottongrass"/>
    <n v="4"/>
  </r>
  <r>
    <n v="4"/>
    <n v="2"/>
    <s v="hollow_2"/>
    <x v="1"/>
    <s v="Forbs and dwarf shrubs"/>
    <x v="3"/>
    <s v="Heather "/>
    <n v="4"/>
  </r>
  <r>
    <n v="4"/>
    <n v="2"/>
    <s v="hollow_2"/>
    <x v="1"/>
    <s v="Forbs and dwarf shrubs"/>
    <x v="4"/>
    <s v="Cross-leaved Heath "/>
    <n v="3"/>
  </r>
  <r>
    <n v="4"/>
    <n v="2"/>
    <s v="hollow_2"/>
    <x v="1"/>
    <s v="Bryophytes "/>
    <x v="8"/>
    <m/>
    <n v="8"/>
  </r>
  <r>
    <n v="4"/>
    <n v="2"/>
    <s v="hollow_2"/>
    <x v="1"/>
    <s v="Bryophytes "/>
    <x v="11"/>
    <m/>
    <n v="6"/>
  </r>
  <r>
    <n v="4"/>
    <n v="2"/>
    <s v="hollow_2"/>
    <x v="1"/>
    <s v="Lichen "/>
    <x v="12"/>
    <m/>
    <n v="2"/>
  </r>
  <r>
    <n v="4"/>
    <n v="3"/>
    <s v="hollow_3"/>
    <x v="1"/>
    <s v="Grasses, sedges and rushes "/>
    <x v="19"/>
    <s v="Common Cottongrass"/>
    <n v="2"/>
  </r>
  <r>
    <n v="4"/>
    <n v="3"/>
    <s v="hollow_3"/>
    <x v="1"/>
    <s v="Grasses, sedges and rushes "/>
    <x v="6"/>
    <s v="Hare's-tale Cottongrass"/>
    <n v="7"/>
  </r>
  <r>
    <n v="4"/>
    <n v="3"/>
    <s v="hollow_3"/>
    <x v="1"/>
    <s v="Forbs and dwarf shrubs"/>
    <x v="9"/>
    <s v="Bog-rosemary "/>
    <n v="1"/>
  </r>
  <r>
    <n v="4"/>
    <n v="3"/>
    <s v="hollow_3"/>
    <x v="1"/>
    <s v="Forbs and dwarf shrubs"/>
    <x v="0"/>
    <s v="Bog Asphodel"/>
    <n v="2"/>
  </r>
  <r>
    <n v="4"/>
    <n v="3"/>
    <s v="hollow_3"/>
    <x v="1"/>
    <s v="Bryophytes "/>
    <x v="8"/>
    <m/>
    <n v="9"/>
  </r>
  <r>
    <n v="4"/>
    <n v="4"/>
    <s v="hollow_4"/>
    <x v="1"/>
    <s v="Grasses, sedges and rushes "/>
    <x v="19"/>
    <s v="Common Cottongrass"/>
    <n v="3"/>
  </r>
  <r>
    <n v="4"/>
    <n v="4"/>
    <s v="hollow_4"/>
    <x v="1"/>
    <s v="Grasses, sedges and rushes "/>
    <x v="6"/>
    <s v="Hare's-tale Cottongrass"/>
    <n v="7"/>
  </r>
  <r>
    <n v="4"/>
    <n v="4"/>
    <s v="hollow_4"/>
    <x v="1"/>
    <s v="Forbs and dwarf shrubs"/>
    <x v="3"/>
    <s v="Heather "/>
    <n v="4"/>
  </r>
  <r>
    <n v="4"/>
    <n v="4"/>
    <s v="hollow_4"/>
    <x v="1"/>
    <s v="Forbs and dwarf shrubs "/>
    <x v="0"/>
    <s v="Bog Asphodel"/>
    <n v="1"/>
  </r>
  <r>
    <n v="4"/>
    <n v="4"/>
    <s v="hollow_4"/>
    <x v="1"/>
    <s v="Bryophytes "/>
    <x v="7"/>
    <m/>
    <n v="2"/>
  </r>
  <r>
    <n v="4"/>
    <n v="4"/>
    <s v="hollow_4"/>
    <x v="1"/>
    <s v="Bryophytes "/>
    <x v="8"/>
    <m/>
    <n v="3"/>
  </r>
  <r>
    <n v="4"/>
    <n v="5"/>
    <s v="hollow_5"/>
    <x v="1"/>
    <s v="Grasses, sedges and rushes "/>
    <x v="19"/>
    <s v="Common Cottongrass"/>
    <n v="1"/>
  </r>
  <r>
    <n v="4"/>
    <n v="5"/>
    <s v="hollow_5"/>
    <x v="1"/>
    <s v="Grasses, sedges and rushes "/>
    <x v="6"/>
    <s v="Hare's-tale Cottongrass"/>
    <n v="6"/>
  </r>
  <r>
    <n v="4"/>
    <n v="5"/>
    <s v="hollow_5"/>
    <x v="1"/>
    <s v="Forbs and dwarf shrubs"/>
    <x v="3"/>
    <s v="Heather "/>
    <n v="2"/>
  </r>
  <r>
    <n v="4"/>
    <n v="5"/>
    <s v="hollow_5"/>
    <x v="1"/>
    <s v="Forbs and dwarf shrubs"/>
    <x v="2"/>
    <s v="Cranberry"/>
    <n v="2"/>
  </r>
  <r>
    <n v="4"/>
    <n v="5"/>
    <s v="hollow_5"/>
    <x v="1"/>
    <s v="Bryophytes "/>
    <x v="8"/>
    <m/>
    <n v="9"/>
  </r>
  <r>
    <n v="4"/>
    <n v="5"/>
    <s v="hollow_5"/>
    <x v="1"/>
    <s v="Bryophytes "/>
    <x v="11"/>
    <m/>
    <n v="2"/>
  </r>
  <r>
    <n v="1"/>
    <n v="1"/>
    <s v="hummock_1"/>
    <x v="0"/>
    <s v="Grasses, sedges and rushes"/>
    <x v="19"/>
    <s v="Common Cottongrass"/>
    <n v="5"/>
  </r>
  <r>
    <n v="1"/>
    <n v="1"/>
    <s v="hummock_1"/>
    <x v="0"/>
    <s v="Forbs &amp; dwarf shrubs"/>
    <x v="9"/>
    <s v="Bog-rosemary"/>
    <n v="1"/>
  </r>
  <r>
    <n v="1"/>
    <n v="1"/>
    <s v="hummock_1"/>
    <x v="0"/>
    <s v="Forbs &amp; dwarf shrubs"/>
    <x v="3"/>
    <s v="Heather"/>
    <n v="8"/>
  </r>
  <r>
    <n v="1"/>
    <n v="1"/>
    <s v="hummock_1"/>
    <x v="0"/>
    <s v="Forbs &amp; dwarf shrubs"/>
    <x v="20"/>
    <s v="Crowberry"/>
    <n v="6"/>
  </r>
  <r>
    <n v="1"/>
    <n v="1"/>
    <s v="hummock_1"/>
    <x v="0"/>
    <s v="Forbs &amp; dwarf shrubs"/>
    <x v="4"/>
    <s v="Cross-leaved Heath"/>
    <n v="4"/>
  </r>
  <r>
    <n v="1"/>
    <n v="1"/>
    <s v="hummock_1"/>
    <x v="0"/>
    <s v="Forbs &amp; dwarf shrubs"/>
    <x v="2"/>
    <s v="Cranberry"/>
    <n v="4"/>
  </r>
  <r>
    <n v="1"/>
    <n v="1"/>
    <s v="hummock_1"/>
    <x v="0"/>
    <s v="Shrubs and Trees"/>
    <x v="5"/>
    <s v="Downy Birch"/>
    <n v="1"/>
  </r>
  <r>
    <n v="1"/>
    <n v="1"/>
    <s v="hummock_1"/>
    <x v="0"/>
    <s v="Bryophytes"/>
    <x v="8"/>
    <m/>
    <n v="8"/>
  </r>
  <r>
    <n v="1"/>
    <n v="1"/>
    <s v="hummock_2"/>
    <x v="0"/>
    <s v="Grasses, sedges and rushes"/>
    <x v="19"/>
    <s v="Common Cottongrass"/>
    <n v="4"/>
  </r>
  <r>
    <n v="1"/>
    <m/>
    <s v="hummock_2"/>
    <x v="0"/>
    <s v="Grasses, sedges and rushes"/>
    <x v="6"/>
    <s v="Hare’s-tail Cottongrass"/>
    <n v="3"/>
  </r>
  <r>
    <n v="1"/>
    <m/>
    <s v="hummock_2"/>
    <x v="0"/>
    <s v="Grasses, sedges and rushes"/>
    <x v="16"/>
    <s v="Purple Moor-grass"/>
    <n v="3"/>
  </r>
  <r>
    <n v="1"/>
    <m/>
    <s v="hummock_2"/>
    <x v="0"/>
    <s v="Forbs &amp; dwarf shrubs"/>
    <x v="9"/>
    <s v="Bog-rosemary"/>
    <n v="1"/>
  </r>
  <r>
    <n v="1"/>
    <m/>
    <s v="hummock_2"/>
    <x v="0"/>
    <s v="Forbs &amp; dwarf shrubs"/>
    <x v="3"/>
    <s v="Heather"/>
    <n v="9"/>
  </r>
  <r>
    <n v="1"/>
    <m/>
    <s v="hummock_2"/>
    <x v="0"/>
    <s v="Forbs &amp; dwarf shrubs"/>
    <x v="4"/>
    <s v="Cross-leaved Heath"/>
    <n v="4"/>
  </r>
  <r>
    <n v="1"/>
    <m/>
    <s v="hummock_2"/>
    <x v="0"/>
    <s v="Forbs &amp; dwarf shrubs"/>
    <x v="2"/>
    <s v="Cranberry"/>
    <n v="3"/>
  </r>
  <r>
    <n v="1"/>
    <m/>
    <s v="hummock_2"/>
    <x v="0"/>
    <s v="Shrubs and Trees"/>
    <x v="5"/>
    <s v="Downy Birch"/>
    <n v="1"/>
  </r>
  <r>
    <n v="1"/>
    <m/>
    <s v="hummock_3"/>
    <x v="0"/>
    <s v="Grasses, sedges and rushes"/>
    <x v="19"/>
    <s v="Common Cottongrass"/>
    <n v="2"/>
  </r>
  <r>
    <n v="1"/>
    <m/>
    <s v="hummock_3"/>
    <x v="0"/>
    <s v="Grasses, sedges and rushes"/>
    <x v="6"/>
    <s v="Hare’s-tail Cottongrass"/>
    <n v="4"/>
  </r>
  <r>
    <n v="1"/>
    <m/>
    <s v="hummock_3"/>
    <x v="0"/>
    <s v="Grasses, sedges and rushes"/>
    <x v="16"/>
    <s v="Purple Moor-grass"/>
    <n v="1"/>
  </r>
  <r>
    <n v="1"/>
    <m/>
    <s v="hummock_3"/>
    <x v="0"/>
    <s v="Forbs &amp; dwarf shrubs"/>
    <x v="9"/>
    <s v="Bog-rosemary"/>
    <n v="1"/>
  </r>
  <r>
    <n v="1"/>
    <m/>
    <s v="hummock_3"/>
    <x v="0"/>
    <s v="Forbs &amp; dwarf shrubs"/>
    <x v="3"/>
    <s v="Heather"/>
    <n v="6"/>
  </r>
  <r>
    <n v="1"/>
    <m/>
    <s v="hummock_3"/>
    <x v="0"/>
    <s v="Forbs &amp; dwarf shrubs"/>
    <x v="2"/>
    <s v="Cranberry"/>
    <n v="3"/>
  </r>
  <r>
    <n v="1"/>
    <m/>
    <s v="hummock_3"/>
    <x v="0"/>
    <s v="Bryophytes"/>
    <x v="8"/>
    <m/>
    <n v="6"/>
  </r>
  <r>
    <n v="1"/>
    <m/>
    <s v="hummock_3"/>
    <x v="0"/>
    <s v="Lichens"/>
    <x v="12"/>
    <m/>
    <n v="5"/>
  </r>
  <r>
    <n v="1"/>
    <m/>
    <s v="hummock_4"/>
    <x v="0"/>
    <s v="Grasses, sedges and rushes"/>
    <x v="19"/>
    <s v="Common Cottongrass"/>
    <n v="1"/>
  </r>
  <r>
    <n v="1"/>
    <m/>
    <s v="hummock_4"/>
    <x v="0"/>
    <s v="Grasses, sedges and rushes"/>
    <x v="6"/>
    <s v="Hare’s-tail Cottongrass"/>
    <n v="4"/>
  </r>
  <r>
    <n v="1"/>
    <m/>
    <s v="hummock_4"/>
    <x v="0"/>
    <s v="Forbs &amp; dwarf shrubs"/>
    <x v="9"/>
    <s v="Bog-rosemary"/>
    <n v="2"/>
  </r>
  <r>
    <n v="1"/>
    <m/>
    <s v="hummock_4"/>
    <x v="0"/>
    <s v="Forbs &amp; dwarf shrubs"/>
    <x v="3"/>
    <s v="Heather"/>
    <n v="7"/>
  </r>
  <r>
    <n v="1"/>
    <m/>
    <s v="hummock_4"/>
    <x v="0"/>
    <s v="Forbs &amp; dwarf shrubs"/>
    <x v="2"/>
    <s v="Cranberry"/>
    <n v="2"/>
  </r>
  <r>
    <n v="1"/>
    <m/>
    <s v="hummock_4"/>
    <x v="0"/>
    <s v="Bryophytes"/>
    <x v="8"/>
    <m/>
    <n v="9"/>
  </r>
  <r>
    <n v="1"/>
    <m/>
    <s v="Hummock_5"/>
    <x v="0"/>
    <s v="Grasses, sedges and rushes"/>
    <x v="19"/>
    <s v="Common Cottongrass"/>
    <n v="2"/>
  </r>
  <r>
    <n v="1"/>
    <m/>
    <s v="Hummock_5"/>
    <x v="0"/>
    <s v="Grasses, sedges and rushes"/>
    <x v="6"/>
    <s v="Hare’s-tail Cottongrass"/>
    <n v="2"/>
  </r>
  <r>
    <n v="1"/>
    <m/>
    <s v="Hummock_5"/>
    <x v="0"/>
    <s v="Forbs &amp; dwarf shrubs"/>
    <x v="9"/>
    <s v="Bog-rosemary"/>
    <n v="3"/>
  </r>
  <r>
    <n v="1"/>
    <m/>
    <s v="Hummock_5"/>
    <x v="0"/>
    <s v="Forbs &amp; dwarf shrubs"/>
    <x v="2"/>
    <s v="Cranberry"/>
    <n v="4"/>
  </r>
  <r>
    <n v="1"/>
    <m/>
    <s v="Hummock_5"/>
    <x v="0"/>
    <s v="Shrubs and Trees"/>
    <x v="5"/>
    <s v="Downy Birch"/>
    <n v="1"/>
  </r>
  <r>
    <n v="1"/>
    <m/>
    <s v="Hummock_5"/>
    <x v="0"/>
    <s v="Shrubs and Trees"/>
    <x v="21"/>
    <s v="Silver birch"/>
    <n v="1"/>
  </r>
  <r>
    <n v="1"/>
    <m/>
    <s v="Hummock_5"/>
    <x v="0"/>
    <s v="Bryophytes"/>
    <x v="7"/>
    <m/>
    <n v="7"/>
  </r>
  <r>
    <n v="1"/>
    <m/>
    <s v="Hummock_5"/>
    <x v="0"/>
    <s v="Bryophytes"/>
    <x v="8"/>
    <m/>
    <n v="9"/>
  </r>
  <r>
    <n v="1"/>
    <m/>
    <s v="hollow_1"/>
    <x v="1"/>
    <s v="Grasses, sedges and rushes"/>
    <x v="6"/>
    <s v="Hare’s-tail Cottongrass"/>
    <n v="4"/>
  </r>
  <r>
    <n v="1"/>
    <m/>
    <s v="hollow_1"/>
    <x v="1"/>
    <s v="Forbs &amp; dwarf shrubs"/>
    <x v="3"/>
    <s v="Heather"/>
    <n v="4"/>
  </r>
  <r>
    <n v="1"/>
    <m/>
    <s v="hollow_1"/>
    <x v="1"/>
    <s v="Forbs &amp; dwarf shrubs"/>
    <x v="2"/>
    <s v="Cranberry"/>
    <n v="3"/>
  </r>
  <r>
    <n v="1"/>
    <m/>
    <s v="hollow_1"/>
    <x v="1"/>
    <s v="Bryophytes"/>
    <x v="8"/>
    <m/>
    <n v="10"/>
  </r>
  <r>
    <n v="1"/>
    <m/>
    <s v="hollow_1"/>
    <x v="1"/>
    <s v="Bryophytes"/>
    <x v="11"/>
    <m/>
    <n v="4"/>
  </r>
  <r>
    <n v="1"/>
    <m/>
    <s v="hollow_1"/>
    <x v="1"/>
    <s v="Lichens"/>
    <x v="12"/>
    <m/>
    <n v="2"/>
  </r>
  <r>
    <n v="1"/>
    <m/>
    <s v="hollow_2"/>
    <x v="1"/>
    <s v="Grasses, sedges and rushes"/>
    <x v="19"/>
    <s v="Common Cottongrass"/>
    <n v="5"/>
  </r>
  <r>
    <n v="1"/>
    <m/>
    <s v="hollow_2"/>
    <x v="1"/>
    <s v="Grasses, sedges and rushes"/>
    <x v="6"/>
    <s v="Hare’s-tail Cottongrass"/>
    <n v="4"/>
  </r>
  <r>
    <n v="1"/>
    <m/>
    <s v="hollow_2"/>
    <x v="1"/>
    <s v="Grasses, sedges and rushes"/>
    <x v="16"/>
    <s v="Purple Moor-grass"/>
    <n v="3"/>
  </r>
  <r>
    <n v="1"/>
    <m/>
    <s v="hollow_2"/>
    <x v="1"/>
    <s v="Forbs &amp; dwarf shrubs"/>
    <x v="9"/>
    <s v="Bog-rosemary"/>
    <n v="2"/>
  </r>
  <r>
    <n v="1"/>
    <m/>
    <s v="hollow_2"/>
    <x v="1"/>
    <s v="Forbs &amp; dwarf shrubs"/>
    <x v="3"/>
    <s v="Heather"/>
    <n v="5"/>
  </r>
  <r>
    <n v="1"/>
    <m/>
    <s v="hollow_2"/>
    <x v="1"/>
    <s v="Forbs &amp; dwarf shrubs"/>
    <x v="2"/>
    <s v="Cranberry"/>
    <n v="3"/>
  </r>
  <r>
    <n v="1"/>
    <m/>
    <s v="hollow_2"/>
    <x v="1"/>
    <s v="Bryophytes"/>
    <x v="8"/>
    <m/>
    <n v="10"/>
  </r>
  <r>
    <n v="1"/>
    <m/>
    <s v="hollow_3"/>
    <x v="1"/>
    <s v="Grasses, sedges and rushes"/>
    <x v="19"/>
    <s v="Common Cottongrass"/>
    <n v="4"/>
  </r>
  <r>
    <n v="1"/>
    <m/>
    <s v="hollow_3"/>
    <x v="1"/>
    <s v="Grasses, sedges and rushes"/>
    <x v="6"/>
    <s v="Hare’s-tail Cottongrass"/>
    <n v="5"/>
  </r>
  <r>
    <n v="1"/>
    <m/>
    <s v="hollow_3"/>
    <x v="1"/>
    <s v="Forbs &amp; dwarf shrubs"/>
    <x v="9"/>
    <s v="Bog-rosemary"/>
    <n v="1"/>
  </r>
  <r>
    <n v="1"/>
    <m/>
    <s v="hollow_3"/>
    <x v="1"/>
    <s v="Forbs &amp; dwarf shrubs"/>
    <x v="3"/>
    <s v="Heather"/>
    <n v="4"/>
  </r>
  <r>
    <n v="1"/>
    <m/>
    <s v="hollow_3"/>
    <x v="1"/>
    <s v="Forbs &amp; dwarf shrubs"/>
    <x v="0"/>
    <s v="Bog Asphodel"/>
    <n v="4"/>
  </r>
  <r>
    <n v="1"/>
    <m/>
    <s v="hollow_3"/>
    <x v="1"/>
    <s v="Forbs &amp; dwarf shrubs"/>
    <x v="2"/>
    <s v="Cranberry"/>
    <n v="2"/>
  </r>
  <r>
    <n v="1"/>
    <m/>
    <s v="hollow_3"/>
    <x v="1"/>
    <s v="Bryophytes"/>
    <x v="8"/>
    <m/>
    <n v="9"/>
  </r>
  <r>
    <n v="1"/>
    <m/>
    <s v="hollow_3"/>
    <x v="1"/>
    <s v="Lichens"/>
    <x v="12"/>
    <m/>
    <n v="5"/>
  </r>
  <r>
    <n v="1"/>
    <m/>
    <s v="hollow_4"/>
    <x v="1"/>
    <s v="Grasses, sedges and rushes"/>
    <x v="19"/>
    <s v="Common Cottongrass"/>
    <n v="2"/>
  </r>
  <r>
    <n v="1"/>
    <m/>
    <s v="hollow_4"/>
    <x v="1"/>
    <s v="Grasses, sedges and rushes"/>
    <x v="16"/>
    <s v="Purple Moor-grass"/>
    <n v="3"/>
  </r>
  <r>
    <n v="1"/>
    <m/>
    <s v="hollow_4"/>
    <x v="1"/>
    <s v="Grasses, sedges and rushes"/>
    <x v="17"/>
    <s v="Deergrass"/>
    <n v="9"/>
  </r>
  <r>
    <n v="1"/>
    <m/>
    <s v="hollow_4"/>
    <x v="1"/>
    <s v="Forbs &amp; dwarf shrubs"/>
    <x v="3"/>
    <s v="Heather"/>
    <n v="4"/>
  </r>
  <r>
    <n v="1"/>
    <m/>
    <s v="hollow_4"/>
    <x v="1"/>
    <s v="Forbs &amp; dwarf shrubs"/>
    <x v="13"/>
    <s v="Round-leaved Sundew"/>
    <n v="2"/>
  </r>
  <r>
    <n v="1"/>
    <m/>
    <s v="hollow_4"/>
    <x v="1"/>
    <s v="Forbs &amp; dwarf shrubs"/>
    <x v="0"/>
    <s v="Bog Asphodel"/>
    <n v="3"/>
  </r>
  <r>
    <n v="1"/>
    <m/>
    <s v="hollow_4"/>
    <x v="1"/>
    <s v="Forbs &amp; dwarf shrubs"/>
    <x v="2"/>
    <s v="Cranberry"/>
    <n v="3"/>
  </r>
  <r>
    <n v="1"/>
    <m/>
    <s v="hollow_4"/>
    <x v="1"/>
    <s v="Bryophytes"/>
    <x v="8"/>
    <m/>
    <n v="10"/>
  </r>
  <r>
    <n v="1"/>
    <m/>
    <s v="hollow_4"/>
    <x v="1"/>
    <s v="Bryophytes"/>
    <x v="11"/>
    <m/>
    <n v="4"/>
  </r>
  <r>
    <n v="1"/>
    <m/>
    <s v="hollow_5"/>
    <x v="1"/>
    <s v="Grasses, sedges and rushes"/>
    <x v="19"/>
    <s v="Common Cottongrass"/>
    <n v="2"/>
  </r>
  <r>
    <n v="1"/>
    <m/>
    <s v="hollow_5"/>
    <x v="1"/>
    <s v="Grasses, sedges and rushes"/>
    <x v="6"/>
    <s v="Hare’s-tail Cottongrass"/>
    <n v="6"/>
  </r>
  <r>
    <n v="1"/>
    <m/>
    <s v="hollow_5"/>
    <x v="1"/>
    <s v="Forbs &amp; dwarf shrubs"/>
    <x v="9"/>
    <s v="Bog-rosemary"/>
    <n v="2"/>
  </r>
  <r>
    <n v="1"/>
    <m/>
    <s v="hollow_5"/>
    <x v="1"/>
    <s v="Forbs &amp; dwarf shrubs"/>
    <x v="0"/>
    <s v="Bog Asphodel"/>
    <n v="1"/>
  </r>
  <r>
    <n v="1"/>
    <m/>
    <s v="hollow_5"/>
    <x v="1"/>
    <s v="Forbs &amp; dwarf shrubs"/>
    <x v="2"/>
    <s v="Cranberry"/>
    <n v="4"/>
  </r>
  <r>
    <n v="1"/>
    <m/>
    <s v="hollow_5"/>
    <x v="1"/>
    <s v="Bryophytes"/>
    <x v="7"/>
    <m/>
    <n v="4"/>
  </r>
  <r>
    <n v="1"/>
    <m/>
    <s v="hollow_5"/>
    <x v="1"/>
    <s v="Bryophytes"/>
    <x v="8"/>
    <m/>
    <n v="10"/>
  </r>
  <r>
    <n v="5"/>
    <n v="1"/>
    <s v="hollow_1"/>
    <x v="1"/>
    <s v="Grasses, sedges and rushes"/>
    <x v="6"/>
    <s v="Hare’s-tail Cottongrass"/>
    <n v="6"/>
  </r>
  <r>
    <n v="5"/>
    <n v="1"/>
    <s v="hollow_1"/>
    <x v="1"/>
    <s v="Forbs &amp; dwarf shrubs"/>
    <x v="0"/>
    <s v="Bog Asphodel"/>
    <n v="4"/>
  </r>
  <r>
    <n v="5"/>
    <m/>
    <s v="hollow_1"/>
    <x v="1"/>
    <s v="Forbs &amp; dwarf shrubs"/>
    <x v="2"/>
    <s v="Cranberry"/>
    <n v="4"/>
  </r>
  <r>
    <n v="5"/>
    <m/>
    <s v="hollow_1"/>
    <x v="1"/>
    <s v="Bryophytes"/>
    <x v="8"/>
    <m/>
    <n v="9"/>
  </r>
  <r>
    <n v="5"/>
    <m/>
    <s v="hollow_2"/>
    <x v="1"/>
    <s v="Grasses, sedges and rushes"/>
    <x v="6"/>
    <s v="Hare’s-tail Cottongrass"/>
    <n v="8"/>
  </r>
  <r>
    <n v="5"/>
    <m/>
    <s v="hollow_2"/>
    <x v="1"/>
    <s v="Forbs &amp; dwarf shrubs"/>
    <x v="9"/>
    <s v="Bog-rosemary"/>
    <n v="1"/>
  </r>
  <r>
    <n v="5"/>
    <m/>
    <s v="hollow_2"/>
    <x v="1"/>
    <s v="Forbs &amp; dwarf shrubs"/>
    <x v="4"/>
    <s v="Cross-leaved Heath"/>
    <n v="5"/>
  </r>
  <r>
    <n v="5"/>
    <m/>
    <s v="hollow_2"/>
    <x v="1"/>
    <s v="Forbs &amp; dwarf shrubs"/>
    <x v="0"/>
    <s v="Bog Asphodel"/>
    <n v="5"/>
  </r>
  <r>
    <n v="5"/>
    <m/>
    <s v="hollow_2"/>
    <x v="1"/>
    <s v="Forbs &amp; dwarf shrubs"/>
    <x v="2"/>
    <s v="Cranberry"/>
    <n v="5"/>
  </r>
  <r>
    <n v="5"/>
    <m/>
    <s v="hollow_2"/>
    <x v="1"/>
    <s v="Bryophytes"/>
    <x v="8"/>
    <m/>
    <n v="9"/>
  </r>
  <r>
    <n v="5"/>
    <m/>
    <s v="hollow_3"/>
    <x v="1"/>
    <s v="Grasses, sedges and rushes"/>
    <x v="6"/>
    <s v="Hare’s-tail Cottongrass"/>
    <n v="9"/>
  </r>
  <r>
    <n v="5"/>
    <m/>
    <s v="hollow_3"/>
    <x v="1"/>
    <s v="Forbs &amp; dwarf shrubs"/>
    <x v="9"/>
    <s v="Bog-rosemary"/>
    <n v="1"/>
  </r>
  <r>
    <n v="5"/>
    <m/>
    <s v="hollow_3"/>
    <x v="1"/>
    <s v="Forbs &amp; dwarf shrubs"/>
    <x v="3"/>
    <s v="Heather"/>
    <n v="5"/>
  </r>
  <r>
    <n v="5"/>
    <m/>
    <s v="hollow_3"/>
    <x v="1"/>
    <s v="Forbs &amp; dwarf shrubs"/>
    <x v="4"/>
    <s v="Cross-leaved Heath"/>
    <n v="1"/>
  </r>
  <r>
    <n v="5"/>
    <m/>
    <s v="hollow_3"/>
    <x v="1"/>
    <s v="Forbs &amp; dwarf shrubs"/>
    <x v="2"/>
    <s v="Cranberry"/>
    <n v="2"/>
  </r>
  <r>
    <n v="5"/>
    <m/>
    <s v="hollow_3"/>
    <x v="1"/>
    <s v="Bryophytes"/>
    <x v="8"/>
    <m/>
    <n v="9"/>
  </r>
  <r>
    <n v="5"/>
    <m/>
    <s v="hollow_4"/>
    <x v="1"/>
    <s v="Grasses, sedges and rushes"/>
    <x v="6"/>
    <s v="Hare’s-tail Cottongrass"/>
    <n v="7"/>
  </r>
  <r>
    <n v="5"/>
    <m/>
    <s v="hollow_4"/>
    <x v="1"/>
    <s v="Forbs &amp; dwarf shrubs"/>
    <x v="9"/>
    <s v="Bog-rosemary"/>
    <n v="2"/>
  </r>
  <r>
    <n v="5"/>
    <m/>
    <s v="hollow_4"/>
    <x v="1"/>
    <s v="Forbs &amp; dwarf shrubs"/>
    <x v="3"/>
    <s v="Heather"/>
    <n v="5"/>
  </r>
  <r>
    <n v="5"/>
    <m/>
    <s v="hollow_4"/>
    <x v="1"/>
    <s v="Forbs &amp; dwarf shrubs"/>
    <x v="4"/>
    <s v="Cross-leaved Heath"/>
    <n v="5"/>
  </r>
  <r>
    <n v="5"/>
    <m/>
    <s v="hollow_4"/>
    <x v="1"/>
    <s v="Forbs &amp; dwarf shrubs"/>
    <x v="2"/>
    <s v="Cranberry"/>
    <n v="8"/>
  </r>
  <r>
    <n v="5"/>
    <m/>
    <s v="hollow_4"/>
    <x v="1"/>
    <s v="Bryophytes"/>
    <x v="8"/>
    <m/>
    <n v="9"/>
  </r>
  <r>
    <n v="5"/>
    <m/>
    <s v="hollow_5"/>
    <x v="1"/>
    <s v="Grasses, sedges and rushes"/>
    <x v="6"/>
    <s v="Hare’s-tail Cottongrass"/>
    <n v="4"/>
  </r>
  <r>
    <n v="5"/>
    <m/>
    <s v="hollow_5"/>
    <x v="1"/>
    <s v="Forbs &amp; dwarf shrubs"/>
    <x v="3"/>
    <s v="Heather"/>
    <n v="6"/>
  </r>
  <r>
    <n v="5"/>
    <m/>
    <s v="hollow_5"/>
    <x v="1"/>
    <s v="Bryophytes"/>
    <x v="8"/>
    <m/>
    <n v="9"/>
  </r>
  <r>
    <n v="5"/>
    <m/>
    <s v="hollow_5"/>
    <x v="1"/>
    <s v="Lichens"/>
    <x v="12"/>
    <m/>
    <n v="4"/>
  </r>
  <r>
    <n v="5"/>
    <m/>
    <s v="hummock_1"/>
    <x v="0"/>
    <s v="Forbs &amp; dwarf shrubs"/>
    <x v="3"/>
    <s v="Heather"/>
    <n v="8"/>
  </r>
  <r>
    <n v="5"/>
    <m/>
    <s v="hummock_1"/>
    <x v="0"/>
    <s v="Forbs &amp; dwarf shrubs"/>
    <x v="4"/>
    <s v="Cross-leaved Heath"/>
    <n v="4"/>
  </r>
  <r>
    <n v="5"/>
    <m/>
    <s v="hummock_1"/>
    <x v="0"/>
    <s v="Forbs &amp; dwarf shrubs"/>
    <x v="2"/>
    <s v="Cranberry"/>
    <n v="8"/>
  </r>
  <r>
    <n v="5"/>
    <m/>
    <s v="hummock_1"/>
    <x v="0"/>
    <s v="Bryophytes"/>
    <x v="8"/>
    <m/>
    <n v="9"/>
  </r>
  <r>
    <n v="5"/>
    <m/>
    <s v="hummock_2"/>
    <x v="0"/>
    <s v="Grasses, sedges and rushes"/>
    <x v="6"/>
    <s v="Hare’s-tail Cottongrass"/>
    <n v="10"/>
  </r>
  <r>
    <n v="5"/>
    <m/>
    <s v="hummock_2"/>
    <x v="0"/>
    <s v="Forbs &amp; dwarf shrubs"/>
    <x v="9"/>
    <s v="Bog-rosemary"/>
    <n v="1"/>
  </r>
  <r>
    <n v="5"/>
    <m/>
    <s v="hummock_2"/>
    <x v="0"/>
    <s v="Forbs &amp; dwarf shrubs"/>
    <x v="4"/>
    <s v="Cross-leaved Heath"/>
    <n v="4"/>
  </r>
  <r>
    <n v="5"/>
    <m/>
    <s v="hummock_2"/>
    <x v="0"/>
    <s v="Forbs &amp; dwarf shrubs"/>
    <x v="2"/>
    <s v="Cranberry"/>
    <n v="7"/>
  </r>
  <r>
    <n v="5"/>
    <m/>
    <s v="hummock_2"/>
    <x v="0"/>
    <s v="Bryophytes"/>
    <x v="7"/>
    <m/>
    <n v="4"/>
  </r>
  <r>
    <n v="5"/>
    <m/>
    <s v="hummock_2"/>
    <x v="0"/>
    <s v="Bryophytes"/>
    <x v="8"/>
    <m/>
    <n v="9"/>
  </r>
  <r>
    <n v="5"/>
    <m/>
    <s v="hummock_3"/>
    <x v="0"/>
    <s v="Grasses, sedges and rushes"/>
    <x v="6"/>
    <s v="Hare’s-tail Cottongrass"/>
    <n v="4"/>
  </r>
  <r>
    <n v="5"/>
    <m/>
    <s v="hummock_3"/>
    <x v="0"/>
    <s v="Forbs &amp; dwarf shrubs"/>
    <x v="3"/>
    <s v="Heather"/>
    <n v="10"/>
  </r>
  <r>
    <n v="5"/>
    <m/>
    <s v="hummock_3"/>
    <x v="0"/>
    <s v="Lichens"/>
    <x v="12"/>
    <m/>
    <n v="2"/>
  </r>
  <r>
    <n v="5"/>
    <m/>
    <s v="hummock_4"/>
    <x v="0"/>
    <s v="Grasses, sedges and rushes"/>
    <x v="6"/>
    <s v="Hare’s-tail Cottongrass"/>
    <n v="8"/>
  </r>
  <r>
    <n v="5"/>
    <m/>
    <s v="hummock_4"/>
    <x v="0"/>
    <s v="Forbs &amp; dwarf shrubs"/>
    <x v="9"/>
    <s v="Bog-rosemary"/>
    <n v="7"/>
  </r>
  <r>
    <n v="5"/>
    <m/>
    <s v="hummock_4"/>
    <x v="0"/>
    <s v="Forbs &amp; dwarf shrubs"/>
    <x v="4"/>
    <s v="Cross-leaved Heath"/>
    <n v="6"/>
  </r>
  <r>
    <n v="5"/>
    <m/>
    <s v="hummock_4"/>
    <x v="0"/>
    <s v="Forbs &amp; dwarf shrubs"/>
    <x v="2"/>
    <s v="Cranberry"/>
    <n v="6"/>
  </r>
  <r>
    <n v="5"/>
    <m/>
    <s v="Hummock_5"/>
    <x v="0"/>
    <s v="Grasses, sedges and rushes"/>
    <x v="6"/>
    <s v="Hare’s-tail Cottongrass"/>
    <n v="8"/>
  </r>
  <r>
    <n v="5"/>
    <m/>
    <s v="Hummock_5"/>
    <x v="0"/>
    <s v="Forbs &amp; dwarf shrubs"/>
    <x v="9"/>
    <s v="Bog-rosemary"/>
    <n v="1"/>
  </r>
  <r>
    <n v="5"/>
    <m/>
    <s v="Hummock_5"/>
    <x v="0"/>
    <s v="Forbs &amp; dwarf shrubs"/>
    <x v="3"/>
    <s v="Heather"/>
    <n v="5"/>
  </r>
  <r>
    <n v="5"/>
    <m/>
    <s v="Hummock_5"/>
    <x v="0"/>
    <s v="Forbs &amp; dwarf shrubs"/>
    <x v="2"/>
    <s v="Cranberry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1"/>
    <x v="0"/>
  </r>
  <r>
    <x v="1"/>
    <x v="1"/>
  </r>
  <r>
    <x v="1"/>
    <x v="17"/>
  </r>
  <r>
    <x v="1"/>
    <x v="2"/>
  </r>
  <r>
    <x v="1"/>
    <x v="18"/>
  </r>
  <r>
    <x v="1"/>
    <x v="19"/>
  </r>
  <r>
    <x v="1"/>
    <x v="14"/>
  </r>
  <r>
    <x v="1"/>
    <x v="20"/>
  </r>
  <r>
    <x v="1"/>
    <x v="4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7"/>
  </r>
  <r>
    <x v="1"/>
    <x v="29"/>
  </r>
  <r>
    <x v="1"/>
    <x v="30"/>
  </r>
  <r>
    <x v="1"/>
    <x v="31"/>
  </r>
  <r>
    <x v="1"/>
    <x v="32"/>
  </r>
  <r>
    <x v="1"/>
    <x v="10"/>
  </r>
  <r>
    <x v="1"/>
    <x v="33"/>
  </r>
  <r>
    <x v="1"/>
    <x v="34"/>
  </r>
  <r>
    <x v="1"/>
    <x v="35"/>
  </r>
  <r>
    <x v="1"/>
    <x v="36"/>
  </r>
  <r>
    <x v="1"/>
    <x v="13"/>
  </r>
  <r>
    <x v="1"/>
    <x v="37"/>
  </r>
  <r>
    <x v="1"/>
    <x v="38"/>
  </r>
  <r>
    <x v="1"/>
    <x v="39"/>
  </r>
  <r>
    <x v="1"/>
    <x v="40"/>
  </r>
  <r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A69FC-0A71-4C17-B429-1240A7EA92A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G30" firstHeaderRow="1" firstDataRow="1" firstDataCol="0"/>
  <pivotFields count="2">
    <pivotField showAll="0">
      <items count="3">
        <item x="0"/>
        <item x="1"/>
        <item t="default"/>
      </items>
    </pivotField>
    <pivotField showAll="0">
      <items count="42">
        <item x="0"/>
        <item x="1"/>
        <item x="13"/>
        <item x="17"/>
        <item x="2"/>
        <item x="18"/>
        <item x="19"/>
        <item x="37"/>
        <item x="38"/>
        <item x="3"/>
        <item x="14"/>
        <item x="39"/>
        <item x="20"/>
        <item x="4"/>
        <item x="5"/>
        <item x="21"/>
        <item x="22"/>
        <item x="23"/>
        <item x="24"/>
        <item x="25"/>
        <item x="15"/>
        <item x="40"/>
        <item x="26"/>
        <item x="27"/>
        <item x="16"/>
        <item x="6"/>
        <item x="28"/>
        <item x="7"/>
        <item x="29"/>
        <item x="8"/>
        <item x="9"/>
        <item x="30"/>
        <item x="31"/>
        <item x="32"/>
        <item x="10"/>
        <item x="11"/>
        <item x="33"/>
        <item x="34"/>
        <item x="35"/>
        <item x="12"/>
        <item x="36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DDCF7-C9E6-4CF5-B09B-62A65369D229}" name="species frequency and Domin values in Hummocks and Hollow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27" firstHeaderRow="1" firstDataRow="3" firstDataCol="1"/>
  <pivotFields count="8">
    <pivotField compact="0" outline="0" subtotalTop="0" showAll="0"/>
    <pivotField compact="0" outline="0" subtotalTop="0" showAll="0"/>
    <pivotField compact="0" outline="0" subtotalTop="0" showAll="0"/>
    <pivotField name="Microclimates" axis="axisCol" compact="0" outline="0" subtotalTop="0" showAll="0">
      <items count="3">
        <item x="1"/>
        <item x="0"/>
        <item t="default"/>
      </items>
    </pivotField>
    <pivotField compact="0" outline="0" subtotalTop="0" showAll="0"/>
    <pivotField axis="axisRow" dataField="1" compact="0" outline="0" subtotalTop="0" showAll="0">
      <items count="23">
        <item x="9"/>
        <item x="21"/>
        <item x="5"/>
        <item x="3"/>
        <item x="15"/>
        <item x="12"/>
        <item x="13"/>
        <item x="20"/>
        <item x="4"/>
        <item x="19"/>
        <item x="6"/>
        <item x="14"/>
        <item x="16"/>
        <item x="0"/>
        <item x="10"/>
        <item x="7"/>
        <item x="8"/>
        <item x="11"/>
        <item x="18"/>
        <item x="17"/>
        <item x="1"/>
        <item x="2"/>
        <item t="default"/>
      </items>
    </pivotField>
    <pivotField compact="0" outline="0" subtotalTop="0" showAll="0"/>
    <pivotField dataField="1" compact="0" outline="0" subtotalTop="0"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2">
    <field x="3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Frequency by scientific name" fld="5" subtotal="count" baseField="0" baseItem="0"/>
    <dataField name="Average of domin value" fld="7" subtotal="average" baseField="5" baseItem="0" numFmtId="2"/>
  </dataFields>
  <pivotTableStyleInfo name="PivotStyleLight18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2D53D-FA8D-40A2-BEEE-61C4F05B6687}" name="Table1" displayName="Table1" ref="I4:L7">
  <autoFilter ref="I4:L7" xr:uid="{1D32D53D-FA8D-40A2-BEEE-61C4F05B6687}"/>
  <tableColumns count="4">
    <tableColumn id="1" xr3:uid="{40F93631-80A0-468F-9F9A-3A437D56A651}" name="Column1" totalsRowLabel="Total"/>
    <tableColumn id="2" xr3:uid="{B4D17221-B9CC-430D-AEA7-1AEEBC94AD08}" name="Gummer's Hollow"/>
    <tableColumn id="3" xr3:uid="{753EB87A-A2F5-469B-B01F-71B9EBEC8BFA}" name="Scout's Scar"/>
    <tableColumn id="4" xr3:uid="{04B23967-C7F3-4FEA-AE72-4E844C60BFF6}" name="Combined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9C48-87BA-44DE-9117-A428A1A54BDB}">
  <sheetPr>
    <tabColor theme="9" tint="0.79998168889431442"/>
  </sheetPr>
  <dimension ref="A1:F61"/>
  <sheetViews>
    <sheetView topLeftCell="A35" workbookViewId="0">
      <selection sqref="A1:F61"/>
    </sheetView>
  </sheetViews>
  <sheetFormatPr defaultRowHeight="14.4" x14ac:dyDescent="0.3"/>
  <cols>
    <col min="1" max="1" width="8.6640625" bestFit="1" customWidth="1"/>
    <col min="2" max="2" width="7.88671875" bestFit="1" customWidth="1"/>
    <col min="3" max="3" width="16.33203125" bestFit="1" customWidth="1"/>
    <col min="4" max="4" width="16.88671875" bestFit="1" customWidth="1"/>
    <col min="5" max="5" width="16.44140625" bestFit="1" customWidth="1"/>
    <col min="6" max="6" width="18.109375" bestFit="1" customWidth="1"/>
  </cols>
  <sheetData>
    <row r="1" spans="1:6" x14ac:dyDescent="0.3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</row>
    <row r="2" spans="1:6" x14ac:dyDescent="0.3">
      <c r="A2">
        <v>1</v>
      </c>
      <c r="B2">
        <v>1</v>
      </c>
      <c r="C2">
        <v>0.23</v>
      </c>
      <c r="D2">
        <v>0.93</v>
      </c>
      <c r="E2">
        <v>0.97</v>
      </c>
      <c r="F2">
        <v>5</v>
      </c>
    </row>
    <row r="3" spans="1:6" x14ac:dyDescent="0.3">
      <c r="A3">
        <v>1</v>
      </c>
      <c r="B3">
        <v>2</v>
      </c>
      <c r="C3">
        <v>0.33</v>
      </c>
      <c r="D3">
        <v>5.3</v>
      </c>
      <c r="E3">
        <v>1.33</v>
      </c>
      <c r="F3">
        <v>5</v>
      </c>
    </row>
    <row r="4" spans="1:6" x14ac:dyDescent="0.3">
      <c r="A4">
        <v>1</v>
      </c>
      <c r="B4">
        <v>3</v>
      </c>
      <c r="C4">
        <v>0.17</v>
      </c>
      <c r="D4">
        <v>2.66</v>
      </c>
      <c r="E4">
        <v>1.34</v>
      </c>
      <c r="F4">
        <v>5</v>
      </c>
    </row>
    <row r="5" spans="1:6" x14ac:dyDescent="0.3">
      <c r="A5">
        <v>1</v>
      </c>
      <c r="B5">
        <v>4</v>
      </c>
      <c r="C5">
        <v>0.28999999999999998</v>
      </c>
      <c r="D5">
        <v>3.57</v>
      </c>
      <c r="E5">
        <v>1.1000000000000001</v>
      </c>
      <c r="F5">
        <v>8</v>
      </c>
    </row>
    <row r="6" spans="1:6" x14ac:dyDescent="0.3">
      <c r="A6">
        <v>1</v>
      </c>
      <c r="B6">
        <v>5</v>
      </c>
      <c r="C6">
        <v>0.24</v>
      </c>
      <c r="D6">
        <v>1.0900000000000001</v>
      </c>
      <c r="E6">
        <v>0.85</v>
      </c>
      <c r="F6">
        <v>4</v>
      </c>
    </row>
    <row r="7" spans="1:6" x14ac:dyDescent="0.3">
      <c r="A7">
        <v>1</v>
      </c>
      <c r="B7">
        <v>6</v>
      </c>
      <c r="C7">
        <v>0.15</v>
      </c>
      <c r="D7">
        <v>0.8</v>
      </c>
      <c r="E7">
        <v>0.24</v>
      </c>
      <c r="F7">
        <v>1</v>
      </c>
    </row>
    <row r="8" spans="1:6" x14ac:dyDescent="0.3">
      <c r="A8">
        <v>1</v>
      </c>
      <c r="B8">
        <v>7</v>
      </c>
      <c r="C8">
        <v>0.26</v>
      </c>
      <c r="D8">
        <v>1</v>
      </c>
      <c r="E8">
        <v>0.17</v>
      </c>
      <c r="F8">
        <v>5</v>
      </c>
    </row>
    <row r="9" spans="1:6" x14ac:dyDescent="0.3">
      <c r="A9">
        <v>1</v>
      </c>
      <c r="B9">
        <v>8</v>
      </c>
      <c r="C9">
        <v>0.2</v>
      </c>
      <c r="D9">
        <v>0.6</v>
      </c>
      <c r="E9">
        <v>0.22</v>
      </c>
      <c r="F9">
        <v>3</v>
      </c>
    </row>
    <row r="10" spans="1:6" x14ac:dyDescent="0.3">
      <c r="A10">
        <v>1</v>
      </c>
      <c r="B10">
        <v>9</v>
      </c>
      <c r="C10">
        <v>0.19</v>
      </c>
      <c r="D10">
        <v>2.2999999999999998</v>
      </c>
      <c r="E10">
        <v>0.87</v>
      </c>
      <c r="F10">
        <v>4</v>
      </c>
    </row>
    <row r="11" spans="1:6" x14ac:dyDescent="0.3">
      <c r="A11">
        <v>1</v>
      </c>
      <c r="B11">
        <v>10</v>
      </c>
      <c r="C11">
        <v>0.22</v>
      </c>
      <c r="D11">
        <v>0.92</v>
      </c>
      <c r="E11">
        <v>0.8</v>
      </c>
      <c r="F11">
        <v>2</v>
      </c>
    </row>
    <row r="12" spans="1:6" x14ac:dyDescent="0.3">
      <c r="A12">
        <v>2</v>
      </c>
      <c r="B12">
        <v>1</v>
      </c>
      <c r="C12">
        <v>0.36</v>
      </c>
      <c r="D12">
        <v>1.58</v>
      </c>
      <c r="E12">
        <v>1</v>
      </c>
      <c r="F12">
        <v>4</v>
      </c>
    </row>
    <row r="13" spans="1:6" x14ac:dyDescent="0.3">
      <c r="A13">
        <v>2</v>
      </c>
      <c r="B13">
        <v>2</v>
      </c>
      <c r="C13">
        <v>0.22</v>
      </c>
      <c r="D13">
        <v>3.3</v>
      </c>
      <c r="E13">
        <v>0.77</v>
      </c>
      <c r="F13">
        <v>4</v>
      </c>
    </row>
    <row r="14" spans="1:6" x14ac:dyDescent="0.3">
      <c r="A14">
        <v>2</v>
      </c>
      <c r="B14">
        <v>3</v>
      </c>
      <c r="C14">
        <v>0.33</v>
      </c>
      <c r="D14">
        <v>2.2999999999999998</v>
      </c>
      <c r="E14">
        <v>1.1000000000000001</v>
      </c>
      <c r="F14">
        <v>4</v>
      </c>
    </row>
    <row r="15" spans="1:6" x14ac:dyDescent="0.3">
      <c r="A15">
        <v>2</v>
      </c>
      <c r="B15">
        <v>4</v>
      </c>
      <c r="C15">
        <v>0.19</v>
      </c>
      <c r="D15">
        <v>0.89</v>
      </c>
      <c r="E15">
        <v>0.27</v>
      </c>
      <c r="F15">
        <v>4</v>
      </c>
    </row>
    <row r="16" spans="1:6" x14ac:dyDescent="0.3">
      <c r="A16">
        <v>2</v>
      </c>
      <c r="B16">
        <v>5</v>
      </c>
      <c r="C16">
        <v>0.76</v>
      </c>
      <c r="D16">
        <v>2.68</v>
      </c>
      <c r="E16">
        <v>0.42</v>
      </c>
      <c r="F16">
        <v>9</v>
      </c>
    </row>
    <row r="17" spans="1:6" x14ac:dyDescent="0.3">
      <c r="A17">
        <v>2</v>
      </c>
      <c r="B17">
        <v>6</v>
      </c>
      <c r="C17">
        <v>0.24</v>
      </c>
      <c r="D17">
        <v>0.9</v>
      </c>
      <c r="E17">
        <v>0.88</v>
      </c>
      <c r="F17">
        <v>4</v>
      </c>
    </row>
    <row r="18" spans="1:6" x14ac:dyDescent="0.3">
      <c r="A18">
        <v>2</v>
      </c>
      <c r="B18">
        <v>7</v>
      </c>
      <c r="C18">
        <v>0.33</v>
      </c>
      <c r="D18">
        <v>1</v>
      </c>
      <c r="E18">
        <v>0.48</v>
      </c>
      <c r="F18">
        <v>4</v>
      </c>
    </row>
    <row r="19" spans="1:6" x14ac:dyDescent="0.3">
      <c r="A19">
        <v>2</v>
      </c>
      <c r="B19">
        <v>8</v>
      </c>
      <c r="C19">
        <v>0.18</v>
      </c>
      <c r="D19">
        <v>1.1000000000000001</v>
      </c>
      <c r="E19">
        <v>0.52</v>
      </c>
      <c r="F19">
        <v>3</v>
      </c>
    </row>
    <row r="20" spans="1:6" x14ac:dyDescent="0.3">
      <c r="A20">
        <v>2</v>
      </c>
      <c r="B20">
        <v>9</v>
      </c>
      <c r="C20">
        <v>0.23</v>
      </c>
      <c r="D20">
        <v>5.2</v>
      </c>
      <c r="E20">
        <v>1</v>
      </c>
      <c r="F20">
        <v>10</v>
      </c>
    </row>
    <row r="21" spans="1:6" x14ac:dyDescent="0.3">
      <c r="A21">
        <v>2</v>
      </c>
      <c r="B21">
        <v>10</v>
      </c>
      <c r="C21">
        <v>0.3</v>
      </c>
      <c r="D21">
        <v>0.56000000000000005</v>
      </c>
      <c r="E21">
        <v>0.41</v>
      </c>
      <c r="F21">
        <v>6</v>
      </c>
    </row>
    <row r="22" spans="1:6" x14ac:dyDescent="0.3">
      <c r="A22">
        <v>3</v>
      </c>
      <c r="B22">
        <v>1</v>
      </c>
      <c r="C22">
        <v>0.24</v>
      </c>
      <c r="D22">
        <v>0.89</v>
      </c>
      <c r="E22">
        <v>0.93</v>
      </c>
      <c r="F22">
        <v>3</v>
      </c>
    </row>
    <row r="23" spans="1:6" x14ac:dyDescent="0.3">
      <c r="A23">
        <v>3</v>
      </c>
      <c r="B23">
        <v>2</v>
      </c>
      <c r="C23">
        <v>0.12</v>
      </c>
      <c r="D23">
        <v>2.46</v>
      </c>
      <c r="E23">
        <v>1.21</v>
      </c>
      <c r="F23">
        <v>5</v>
      </c>
    </row>
    <row r="24" spans="1:6" x14ac:dyDescent="0.3">
      <c r="A24">
        <v>3</v>
      </c>
      <c r="B24">
        <v>3</v>
      </c>
      <c r="C24">
        <v>0.37</v>
      </c>
      <c r="D24">
        <v>0.64</v>
      </c>
      <c r="E24">
        <v>0.83</v>
      </c>
      <c r="F24">
        <v>6</v>
      </c>
    </row>
    <row r="25" spans="1:6" x14ac:dyDescent="0.3">
      <c r="A25">
        <v>3</v>
      </c>
      <c r="B25">
        <v>4</v>
      </c>
      <c r="C25">
        <v>0.09</v>
      </c>
      <c r="D25">
        <v>1</v>
      </c>
      <c r="E25">
        <v>0.28000000000000003</v>
      </c>
      <c r="F25">
        <v>3</v>
      </c>
    </row>
    <row r="26" spans="1:6" x14ac:dyDescent="0.3">
      <c r="A26">
        <v>3</v>
      </c>
      <c r="B26">
        <v>5</v>
      </c>
      <c r="C26">
        <v>0.18</v>
      </c>
      <c r="D26">
        <v>4.54</v>
      </c>
      <c r="E26">
        <v>1.2</v>
      </c>
      <c r="F26">
        <v>7</v>
      </c>
    </row>
    <row r="27" spans="1:6" x14ac:dyDescent="0.3">
      <c r="A27">
        <v>3</v>
      </c>
      <c r="B27">
        <v>6</v>
      </c>
      <c r="C27">
        <v>0.27</v>
      </c>
      <c r="D27">
        <v>1.58</v>
      </c>
      <c r="E27">
        <v>1</v>
      </c>
      <c r="F27">
        <v>4</v>
      </c>
    </row>
    <row r="28" spans="1:6" x14ac:dyDescent="0.3">
      <c r="A28">
        <v>3</v>
      </c>
      <c r="B28">
        <v>7</v>
      </c>
      <c r="C28">
        <v>0.22</v>
      </c>
      <c r="D28">
        <v>0.82</v>
      </c>
      <c r="E28">
        <v>1.1000000000000001</v>
      </c>
      <c r="F28">
        <v>3</v>
      </c>
    </row>
    <row r="29" spans="1:6" x14ac:dyDescent="0.3">
      <c r="A29">
        <v>3</v>
      </c>
      <c r="B29">
        <v>8</v>
      </c>
      <c r="C29">
        <v>0.4</v>
      </c>
      <c r="D29">
        <v>1.23</v>
      </c>
      <c r="E29">
        <v>0.95</v>
      </c>
      <c r="F29">
        <v>4</v>
      </c>
    </row>
    <row r="30" spans="1:6" x14ac:dyDescent="0.3">
      <c r="A30">
        <v>3</v>
      </c>
      <c r="B30">
        <v>9</v>
      </c>
      <c r="C30">
        <v>0.31</v>
      </c>
      <c r="D30">
        <v>0.74</v>
      </c>
      <c r="E30">
        <v>1.5</v>
      </c>
      <c r="F30">
        <v>4</v>
      </c>
    </row>
    <row r="31" spans="1:6" x14ac:dyDescent="0.3">
      <c r="A31">
        <v>3</v>
      </c>
      <c r="B31">
        <v>10</v>
      </c>
      <c r="C31">
        <v>0.31</v>
      </c>
      <c r="D31">
        <v>0.77</v>
      </c>
      <c r="E31">
        <v>0.88</v>
      </c>
      <c r="F31">
        <v>3</v>
      </c>
    </row>
    <row r="32" spans="1:6" x14ac:dyDescent="0.3">
      <c r="A32">
        <v>4</v>
      </c>
      <c r="B32">
        <v>1</v>
      </c>
      <c r="C32">
        <v>0.15</v>
      </c>
      <c r="D32">
        <v>0.77</v>
      </c>
      <c r="E32">
        <v>0.74</v>
      </c>
      <c r="F32">
        <v>3</v>
      </c>
    </row>
    <row r="33" spans="1:6" x14ac:dyDescent="0.3">
      <c r="A33">
        <v>4</v>
      </c>
      <c r="B33">
        <v>2</v>
      </c>
      <c r="C33">
        <v>0.26</v>
      </c>
      <c r="D33">
        <v>0.86</v>
      </c>
      <c r="E33">
        <v>0.6</v>
      </c>
      <c r="F33">
        <v>3</v>
      </c>
    </row>
    <row r="34" spans="1:6" x14ac:dyDescent="0.3">
      <c r="A34">
        <v>4</v>
      </c>
      <c r="B34">
        <v>3</v>
      </c>
      <c r="C34">
        <v>0.22</v>
      </c>
      <c r="D34">
        <v>1.55</v>
      </c>
      <c r="E34">
        <v>1</v>
      </c>
      <c r="F34">
        <v>2</v>
      </c>
    </row>
    <row r="35" spans="1:6" x14ac:dyDescent="0.3">
      <c r="A35">
        <v>4</v>
      </c>
      <c r="B35">
        <v>4</v>
      </c>
      <c r="C35">
        <v>0.1</v>
      </c>
      <c r="D35">
        <v>1.61</v>
      </c>
      <c r="E35">
        <v>0.55000000000000004</v>
      </c>
      <c r="F35">
        <v>4</v>
      </c>
    </row>
    <row r="36" spans="1:6" x14ac:dyDescent="0.3">
      <c r="A36">
        <v>4</v>
      </c>
      <c r="B36">
        <v>5</v>
      </c>
      <c r="C36">
        <v>0.7</v>
      </c>
      <c r="D36">
        <v>0.39</v>
      </c>
      <c r="E36">
        <v>0.94</v>
      </c>
      <c r="F36">
        <v>1</v>
      </c>
    </row>
    <row r="37" spans="1:6" x14ac:dyDescent="0.3">
      <c r="A37">
        <v>4</v>
      </c>
      <c r="B37">
        <v>6</v>
      </c>
      <c r="C37">
        <v>0.15</v>
      </c>
      <c r="D37">
        <v>1.03</v>
      </c>
      <c r="E37">
        <v>0.72</v>
      </c>
      <c r="F37">
        <v>3</v>
      </c>
    </row>
    <row r="38" spans="1:6" x14ac:dyDescent="0.3">
      <c r="A38">
        <v>4</v>
      </c>
      <c r="B38">
        <v>7</v>
      </c>
      <c r="C38">
        <v>0.2</v>
      </c>
      <c r="D38">
        <v>0.71</v>
      </c>
      <c r="E38">
        <v>1.01</v>
      </c>
      <c r="F38">
        <v>3</v>
      </c>
    </row>
    <row r="39" spans="1:6" x14ac:dyDescent="0.3">
      <c r="A39">
        <v>4</v>
      </c>
      <c r="B39">
        <v>8</v>
      </c>
      <c r="C39">
        <v>0.27</v>
      </c>
      <c r="D39">
        <v>0.79</v>
      </c>
      <c r="E39">
        <v>1.28</v>
      </c>
      <c r="F39">
        <v>5</v>
      </c>
    </row>
    <row r="40" spans="1:6" x14ac:dyDescent="0.3">
      <c r="A40">
        <v>4</v>
      </c>
      <c r="B40">
        <v>9</v>
      </c>
      <c r="C40">
        <v>0.64</v>
      </c>
      <c r="D40">
        <v>1.3</v>
      </c>
      <c r="E40">
        <v>0.61</v>
      </c>
      <c r="F40">
        <v>7</v>
      </c>
    </row>
    <row r="41" spans="1:6" x14ac:dyDescent="0.3">
      <c r="A41">
        <v>4</v>
      </c>
      <c r="B41">
        <v>10</v>
      </c>
      <c r="C41">
        <v>0.62</v>
      </c>
      <c r="D41">
        <v>0.87</v>
      </c>
      <c r="E41">
        <v>1</v>
      </c>
      <c r="F41">
        <v>3</v>
      </c>
    </row>
    <row r="42" spans="1:6" x14ac:dyDescent="0.3">
      <c r="A42">
        <v>5</v>
      </c>
      <c r="B42">
        <v>1</v>
      </c>
      <c r="C42">
        <v>0.57999999999999996</v>
      </c>
      <c r="D42">
        <v>5.2</v>
      </c>
      <c r="E42">
        <v>1.18</v>
      </c>
      <c r="F42">
        <v>8</v>
      </c>
    </row>
    <row r="43" spans="1:6" x14ac:dyDescent="0.3">
      <c r="A43">
        <v>5</v>
      </c>
      <c r="B43">
        <v>2</v>
      </c>
      <c r="C43">
        <v>0.28999999999999998</v>
      </c>
      <c r="D43">
        <v>1.7</v>
      </c>
      <c r="E43">
        <v>1.1000000000000001</v>
      </c>
      <c r="F43">
        <v>4</v>
      </c>
    </row>
    <row r="44" spans="1:6" x14ac:dyDescent="0.3">
      <c r="A44">
        <v>5</v>
      </c>
      <c r="B44">
        <v>3</v>
      </c>
      <c r="C44">
        <v>0.28999999999999998</v>
      </c>
      <c r="D44">
        <v>1.4</v>
      </c>
      <c r="E44">
        <v>0.39</v>
      </c>
      <c r="F44">
        <v>3</v>
      </c>
    </row>
    <row r="45" spans="1:6" x14ac:dyDescent="0.3">
      <c r="A45">
        <v>5</v>
      </c>
      <c r="B45">
        <v>4</v>
      </c>
      <c r="C45">
        <v>0.4</v>
      </c>
      <c r="D45">
        <v>2.65</v>
      </c>
      <c r="E45">
        <v>1.43</v>
      </c>
      <c r="F45">
        <v>3</v>
      </c>
    </row>
    <row r="46" spans="1:6" x14ac:dyDescent="0.3">
      <c r="A46">
        <v>5</v>
      </c>
      <c r="B46">
        <v>5</v>
      </c>
      <c r="C46">
        <v>0.68</v>
      </c>
      <c r="D46">
        <v>5.52</v>
      </c>
      <c r="E46">
        <v>1.58</v>
      </c>
      <c r="F46">
        <v>7</v>
      </c>
    </row>
    <row r="47" spans="1:6" x14ac:dyDescent="0.3">
      <c r="A47">
        <v>5</v>
      </c>
      <c r="B47">
        <v>6</v>
      </c>
      <c r="C47">
        <v>0.36</v>
      </c>
      <c r="D47">
        <v>2.1</v>
      </c>
      <c r="E47">
        <v>1.36</v>
      </c>
      <c r="F47">
        <v>4</v>
      </c>
    </row>
    <row r="48" spans="1:6" x14ac:dyDescent="0.3">
      <c r="A48">
        <v>5</v>
      </c>
      <c r="B48">
        <v>7</v>
      </c>
      <c r="C48">
        <v>0.44</v>
      </c>
      <c r="D48">
        <v>1.01</v>
      </c>
      <c r="E48">
        <v>1.42</v>
      </c>
      <c r="F48">
        <v>4</v>
      </c>
    </row>
    <row r="49" spans="1:6" x14ac:dyDescent="0.3">
      <c r="A49">
        <v>5</v>
      </c>
      <c r="B49">
        <v>8</v>
      </c>
      <c r="C49">
        <v>0.5</v>
      </c>
      <c r="D49">
        <v>2</v>
      </c>
      <c r="E49">
        <v>1.02</v>
      </c>
      <c r="F49">
        <v>7</v>
      </c>
    </row>
    <row r="50" spans="1:6" x14ac:dyDescent="0.3">
      <c r="A50">
        <v>5</v>
      </c>
      <c r="B50">
        <v>9</v>
      </c>
      <c r="C50">
        <v>0.18</v>
      </c>
      <c r="D50">
        <v>1.95</v>
      </c>
      <c r="E50">
        <v>0.4</v>
      </c>
      <c r="F50">
        <v>6</v>
      </c>
    </row>
    <row r="51" spans="1:6" x14ac:dyDescent="0.3">
      <c r="A51">
        <v>5</v>
      </c>
      <c r="B51">
        <v>10</v>
      </c>
      <c r="C51">
        <v>0.22</v>
      </c>
      <c r="D51">
        <v>1.41</v>
      </c>
      <c r="E51">
        <v>0.59</v>
      </c>
      <c r="F51">
        <v>3</v>
      </c>
    </row>
    <row r="52" spans="1:6" x14ac:dyDescent="0.3">
      <c r="A52">
        <v>6</v>
      </c>
      <c r="B52">
        <v>1</v>
      </c>
      <c r="C52">
        <v>0.2</v>
      </c>
      <c r="D52">
        <v>1.1200000000000001</v>
      </c>
      <c r="E52">
        <v>1.24</v>
      </c>
      <c r="F52">
        <v>3</v>
      </c>
    </row>
    <row r="53" spans="1:6" x14ac:dyDescent="0.3">
      <c r="A53">
        <v>6</v>
      </c>
      <c r="B53">
        <v>2</v>
      </c>
      <c r="C53">
        <v>0.24</v>
      </c>
      <c r="D53">
        <v>1.03</v>
      </c>
      <c r="E53">
        <v>0.3</v>
      </c>
      <c r="F53">
        <v>8</v>
      </c>
    </row>
    <row r="54" spans="1:6" x14ac:dyDescent="0.3">
      <c r="A54">
        <v>6</v>
      </c>
      <c r="B54">
        <v>3</v>
      </c>
      <c r="C54">
        <v>0.23</v>
      </c>
      <c r="D54">
        <v>3.7</v>
      </c>
      <c r="E54">
        <v>1.22</v>
      </c>
      <c r="F54">
        <v>5</v>
      </c>
    </row>
    <row r="55" spans="1:6" x14ac:dyDescent="0.3">
      <c r="A55">
        <v>6</v>
      </c>
      <c r="B55">
        <v>4</v>
      </c>
      <c r="C55">
        <v>0.25</v>
      </c>
      <c r="D55">
        <v>3.5</v>
      </c>
      <c r="E55">
        <v>0.79</v>
      </c>
      <c r="F55">
        <v>6</v>
      </c>
    </row>
    <row r="56" spans="1:6" x14ac:dyDescent="0.3">
      <c r="A56">
        <v>6</v>
      </c>
      <c r="B56">
        <v>5</v>
      </c>
      <c r="C56">
        <v>0.23</v>
      </c>
      <c r="D56">
        <v>3.37</v>
      </c>
      <c r="E56">
        <v>1.1000000000000001</v>
      </c>
      <c r="F56">
        <v>7</v>
      </c>
    </row>
    <row r="57" spans="1:6" x14ac:dyDescent="0.3">
      <c r="A57">
        <v>6</v>
      </c>
      <c r="B57">
        <v>6</v>
      </c>
      <c r="C57">
        <v>0.28000000000000003</v>
      </c>
      <c r="D57">
        <v>0.9</v>
      </c>
      <c r="E57">
        <v>1.2</v>
      </c>
      <c r="F57">
        <v>3</v>
      </c>
    </row>
    <row r="58" spans="1:6" x14ac:dyDescent="0.3">
      <c r="A58">
        <v>6</v>
      </c>
      <c r="B58">
        <v>7</v>
      </c>
      <c r="C58">
        <v>0.19</v>
      </c>
      <c r="D58">
        <v>0.68</v>
      </c>
      <c r="E58">
        <v>0.48</v>
      </c>
      <c r="F58">
        <v>4</v>
      </c>
    </row>
    <row r="59" spans="1:6" x14ac:dyDescent="0.3">
      <c r="A59">
        <v>6</v>
      </c>
      <c r="B59">
        <v>8</v>
      </c>
      <c r="C59">
        <v>2.1</v>
      </c>
      <c r="D59">
        <v>0.15</v>
      </c>
      <c r="E59">
        <v>0.34</v>
      </c>
      <c r="F59">
        <v>12</v>
      </c>
    </row>
    <row r="60" spans="1:6" x14ac:dyDescent="0.3">
      <c r="A60">
        <v>6</v>
      </c>
      <c r="B60">
        <v>9</v>
      </c>
      <c r="C60">
        <v>0.6</v>
      </c>
      <c r="D60">
        <v>0.21</v>
      </c>
      <c r="E60">
        <v>0.83</v>
      </c>
      <c r="F60">
        <v>5</v>
      </c>
    </row>
    <row r="61" spans="1:6" x14ac:dyDescent="0.3">
      <c r="A61">
        <v>6</v>
      </c>
      <c r="B61">
        <v>10</v>
      </c>
      <c r="C61">
        <v>2.8</v>
      </c>
      <c r="D61">
        <v>0.33</v>
      </c>
      <c r="E61">
        <v>1.35</v>
      </c>
      <c r="F6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4ABC-23E8-4A4A-9D0E-C902104858C7}">
  <sheetPr>
    <tabColor theme="9" tint="0.79998168889431442"/>
  </sheetPr>
  <dimension ref="A1:F272"/>
  <sheetViews>
    <sheetView workbookViewId="0">
      <selection activeCell="D1" sqref="D1:D1048576"/>
    </sheetView>
  </sheetViews>
  <sheetFormatPr defaultRowHeight="17.25" customHeight="1" x14ac:dyDescent="0.3"/>
  <cols>
    <col min="1" max="1" width="5.5546875" bestFit="1" customWidth="1"/>
    <col min="2" max="2" width="6.88671875" bestFit="1" customWidth="1"/>
    <col min="3" max="3" width="21.44140625" bestFit="1" customWidth="1"/>
    <col min="4" max="4" width="24.88671875" bestFit="1" customWidth="1"/>
    <col min="5" max="5" width="21.6640625" bestFit="1" customWidth="1"/>
    <col min="6" max="6" width="15.44140625" bestFit="1" customWidth="1"/>
  </cols>
  <sheetData>
    <row r="1" spans="1:6" ht="17.25" customHeight="1" x14ac:dyDescent="0.3">
      <c r="A1" s="54" t="s">
        <v>293</v>
      </c>
      <c r="B1" s="54" t="s">
        <v>81</v>
      </c>
      <c r="C1" s="54" t="s">
        <v>299</v>
      </c>
      <c r="D1" s="54" t="s">
        <v>300</v>
      </c>
      <c r="E1" s="54" t="s">
        <v>301</v>
      </c>
      <c r="F1" s="54" t="s">
        <v>302</v>
      </c>
    </row>
    <row r="2" spans="1:6" ht="17.25" customHeight="1" x14ac:dyDescent="0.3">
      <c r="A2" s="54">
        <v>4</v>
      </c>
      <c r="B2" s="54">
        <v>1</v>
      </c>
      <c r="C2" s="55" t="s">
        <v>28</v>
      </c>
      <c r="D2" s="56" t="s">
        <v>337</v>
      </c>
      <c r="E2" s="54"/>
      <c r="F2" s="54">
        <v>23</v>
      </c>
    </row>
    <row r="3" spans="1:6" ht="17.25" customHeight="1" x14ac:dyDescent="0.3">
      <c r="A3" s="54">
        <v>4</v>
      </c>
      <c r="B3" s="54">
        <v>1</v>
      </c>
      <c r="C3" s="55" t="s">
        <v>28</v>
      </c>
      <c r="D3" s="56" t="s">
        <v>335</v>
      </c>
      <c r="E3" s="54"/>
      <c r="F3" s="54">
        <v>9</v>
      </c>
    </row>
    <row r="4" spans="1:6" ht="17.25" customHeight="1" x14ac:dyDescent="0.3">
      <c r="A4" s="54">
        <v>4</v>
      </c>
      <c r="B4" s="54">
        <v>2</v>
      </c>
      <c r="C4" s="55" t="s">
        <v>327</v>
      </c>
      <c r="D4" s="56" t="s">
        <v>331</v>
      </c>
      <c r="E4" s="54" t="s">
        <v>332</v>
      </c>
      <c r="F4" s="54">
        <v>40</v>
      </c>
    </row>
    <row r="5" spans="1:6" ht="17.25" customHeight="1" x14ac:dyDescent="0.3">
      <c r="A5" s="54">
        <v>4</v>
      </c>
      <c r="B5" s="54">
        <v>2</v>
      </c>
      <c r="C5" s="55" t="s">
        <v>327</v>
      </c>
      <c r="D5" s="56" t="s">
        <v>310</v>
      </c>
      <c r="E5" s="54" t="s">
        <v>311</v>
      </c>
      <c r="F5" s="54">
        <v>40</v>
      </c>
    </row>
    <row r="6" spans="1:6" ht="17.25" customHeight="1" x14ac:dyDescent="0.3">
      <c r="A6" s="54">
        <v>4</v>
      </c>
      <c r="B6" s="54">
        <v>3</v>
      </c>
      <c r="C6" s="55" t="s">
        <v>327</v>
      </c>
      <c r="D6" s="56" t="s">
        <v>331</v>
      </c>
      <c r="E6" s="54" t="s">
        <v>332</v>
      </c>
      <c r="F6" s="54">
        <v>100</v>
      </c>
    </row>
    <row r="7" spans="1:6" ht="17.25" customHeight="1" x14ac:dyDescent="0.3">
      <c r="A7" s="54">
        <v>4</v>
      </c>
      <c r="B7" s="54">
        <v>4</v>
      </c>
      <c r="C7" s="55" t="s">
        <v>83</v>
      </c>
      <c r="D7" s="56" t="s">
        <v>315</v>
      </c>
      <c r="E7" s="54" t="s">
        <v>316</v>
      </c>
      <c r="F7" s="54">
        <v>44</v>
      </c>
    </row>
    <row r="8" spans="1:6" ht="17.25" customHeight="1" x14ac:dyDescent="0.3">
      <c r="A8" s="54">
        <v>4</v>
      </c>
      <c r="B8" s="54">
        <v>4</v>
      </c>
      <c r="C8" s="55" t="s">
        <v>327</v>
      </c>
      <c r="D8" s="56" t="s">
        <v>329</v>
      </c>
      <c r="E8" s="54" t="s">
        <v>330</v>
      </c>
      <c r="F8" s="54">
        <v>55</v>
      </c>
    </row>
    <row r="9" spans="1:6" ht="17.25" customHeight="1" x14ac:dyDescent="0.3">
      <c r="A9" s="54">
        <v>4</v>
      </c>
      <c r="B9" s="54">
        <v>5</v>
      </c>
      <c r="C9" s="55" t="s">
        <v>327</v>
      </c>
      <c r="D9" s="56" t="s">
        <v>331</v>
      </c>
      <c r="E9" s="54" t="s">
        <v>332</v>
      </c>
      <c r="F9" s="54">
        <v>44</v>
      </c>
    </row>
    <row r="10" spans="1:6" ht="17.25" customHeight="1" x14ac:dyDescent="0.3">
      <c r="A10" s="54">
        <v>4</v>
      </c>
      <c r="B10" s="54">
        <v>5</v>
      </c>
      <c r="C10" s="55" t="s">
        <v>83</v>
      </c>
      <c r="D10" s="56" t="s">
        <v>315</v>
      </c>
      <c r="E10" s="54" t="s">
        <v>316</v>
      </c>
      <c r="F10" s="54">
        <v>44</v>
      </c>
    </row>
    <row r="11" spans="1:6" ht="17.25" customHeight="1" x14ac:dyDescent="0.3">
      <c r="A11" s="54">
        <v>4</v>
      </c>
      <c r="B11" s="54">
        <v>5</v>
      </c>
      <c r="C11" s="55" t="s">
        <v>83</v>
      </c>
      <c r="D11" s="56" t="s">
        <v>306</v>
      </c>
      <c r="E11" s="54" t="s">
        <v>307</v>
      </c>
      <c r="F11" s="54">
        <v>33</v>
      </c>
    </row>
    <row r="12" spans="1:6" ht="17.25" customHeight="1" x14ac:dyDescent="0.3">
      <c r="A12" s="54">
        <v>4</v>
      </c>
      <c r="B12" s="54">
        <v>6</v>
      </c>
      <c r="C12" s="55" t="s">
        <v>327</v>
      </c>
      <c r="D12" s="56" t="s">
        <v>331</v>
      </c>
      <c r="E12" s="54" t="s">
        <v>332</v>
      </c>
      <c r="F12" s="54">
        <v>44</v>
      </c>
    </row>
    <row r="13" spans="1:6" ht="17.25" customHeight="1" x14ac:dyDescent="0.3">
      <c r="A13" s="54">
        <v>4</v>
      </c>
      <c r="B13" s="54">
        <v>6</v>
      </c>
      <c r="C13" s="55" t="s">
        <v>28</v>
      </c>
      <c r="D13" s="56" t="s">
        <v>337</v>
      </c>
      <c r="E13" s="54"/>
      <c r="F13" s="54">
        <v>35</v>
      </c>
    </row>
    <row r="14" spans="1:6" ht="17.25" customHeight="1" x14ac:dyDescent="0.3">
      <c r="A14" s="54">
        <v>4</v>
      </c>
      <c r="B14" s="54">
        <v>7</v>
      </c>
      <c r="C14" s="55" t="s">
        <v>327</v>
      </c>
      <c r="D14" s="56" t="s">
        <v>329</v>
      </c>
      <c r="E14" s="54" t="s">
        <v>330</v>
      </c>
      <c r="F14" s="54">
        <v>28</v>
      </c>
    </row>
    <row r="15" spans="1:6" ht="17.25" customHeight="1" x14ac:dyDescent="0.3">
      <c r="A15" s="54">
        <v>4</v>
      </c>
      <c r="B15" s="54"/>
      <c r="C15" s="54"/>
      <c r="D15" s="56" t="s">
        <v>329</v>
      </c>
      <c r="E15" s="54" t="s">
        <v>330</v>
      </c>
      <c r="F15" s="54">
        <v>49</v>
      </c>
    </row>
    <row r="16" spans="1:6" ht="17.25" customHeight="1" x14ac:dyDescent="0.3">
      <c r="A16" s="54">
        <v>4</v>
      </c>
      <c r="B16" s="54"/>
      <c r="C16" s="55" t="s">
        <v>327</v>
      </c>
      <c r="D16" s="56" t="s">
        <v>331</v>
      </c>
      <c r="E16" s="54" t="s">
        <v>332</v>
      </c>
      <c r="F16" s="54">
        <v>100</v>
      </c>
    </row>
    <row r="17" spans="1:6" ht="17.25" customHeight="1" x14ac:dyDescent="0.3">
      <c r="A17" s="54">
        <v>4</v>
      </c>
      <c r="B17" s="54"/>
      <c r="C17" s="55" t="s">
        <v>327</v>
      </c>
      <c r="D17" s="56" t="s">
        <v>331</v>
      </c>
      <c r="E17" s="54" t="s">
        <v>332</v>
      </c>
      <c r="F17" s="54">
        <v>34</v>
      </c>
    </row>
    <row r="18" spans="1:6" ht="17.25" customHeight="1" x14ac:dyDescent="0.3">
      <c r="A18" s="54">
        <v>4</v>
      </c>
      <c r="B18" s="54"/>
      <c r="C18" s="55" t="s">
        <v>327</v>
      </c>
      <c r="D18" s="56" t="s">
        <v>331</v>
      </c>
      <c r="E18" s="54" t="s">
        <v>332</v>
      </c>
      <c r="F18" s="54">
        <v>39</v>
      </c>
    </row>
    <row r="19" spans="1:6" ht="17.25" customHeight="1" x14ac:dyDescent="0.3">
      <c r="A19" s="54">
        <v>4</v>
      </c>
      <c r="B19" s="54"/>
      <c r="C19" s="55" t="s">
        <v>327</v>
      </c>
      <c r="D19" s="56" t="s">
        <v>331</v>
      </c>
      <c r="E19" s="54" t="s">
        <v>332</v>
      </c>
      <c r="F19" s="54">
        <v>79</v>
      </c>
    </row>
    <row r="20" spans="1:6" ht="17.25" customHeight="1" x14ac:dyDescent="0.3">
      <c r="A20" s="54">
        <v>4</v>
      </c>
      <c r="B20" s="54"/>
      <c r="C20" s="55" t="s">
        <v>28</v>
      </c>
      <c r="D20" s="56" t="s">
        <v>29</v>
      </c>
      <c r="E20" s="54"/>
      <c r="F20" s="54">
        <v>76</v>
      </c>
    </row>
    <row r="21" spans="1:6" ht="17.25" customHeight="1" x14ac:dyDescent="0.3">
      <c r="A21" s="54">
        <v>4</v>
      </c>
      <c r="B21" s="54"/>
      <c r="C21" s="55" t="s">
        <v>28</v>
      </c>
      <c r="D21" s="56" t="s">
        <v>29</v>
      </c>
      <c r="E21" s="54"/>
      <c r="F21" s="54">
        <v>61</v>
      </c>
    </row>
    <row r="22" spans="1:6" ht="17.25" customHeight="1" x14ac:dyDescent="0.3">
      <c r="A22" s="54">
        <v>4</v>
      </c>
      <c r="B22" s="54"/>
      <c r="C22" s="55" t="s">
        <v>28</v>
      </c>
      <c r="D22" s="56" t="s">
        <v>29</v>
      </c>
      <c r="E22" s="54"/>
      <c r="F22" s="54">
        <v>16</v>
      </c>
    </row>
    <row r="23" spans="1:6" ht="17.25" customHeight="1" x14ac:dyDescent="0.3">
      <c r="A23" s="54">
        <v>4</v>
      </c>
      <c r="B23" s="54"/>
      <c r="C23" s="55" t="s">
        <v>28</v>
      </c>
      <c r="D23" s="56" t="s">
        <v>29</v>
      </c>
      <c r="E23" s="54"/>
      <c r="F23" s="54">
        <v>56</v>
      </c>
    </row>
    <row r="24" spans="1:6" ht="17.25" customHeight="1" x14ac:dyDescent="0.3">
      <c r="A24" s="54">
        <v>4</v>
      </c>
      <c r="B24" s="54"/>
      <c r="C24" s="55" t="s">
        <v>28</v>
      </c>
      <c r="D24" s="56" t="s">
        <v>29</v>
      </c>
      <c r="E24" s="54"/>
      <c r="F24" s="54">
        <v>75</v>
      </c>
    </row>
    <row r="25" spans="1:6" ht="17.25" customHeight="1" x14ac:dyDescent="0.3">
      <c r="A25" s="54">
        <v>4</v>
      </c>
      <c r="B25" s="54"/>
      <c r="C25" s="55" t="s">
        <v>28</v>
      </c>
      <c r="D25" s="56" t="s">
        <v>29</v>
      </c>
      <c r="E25" s="54"/>
      <c r="F25" s="54">
        <v>82</v>
      </c>
    </row>
    <row r="26" spans="1:6" ht="17.25" customHeight="1" x14ac:dyDescent="0.3">
      <c r="A26" s="54">
        <v>4</v>
      </c>
      <c r="B26" s="54"/>
      <c r="C26" s="55" t="s">
        <v>28</v>
      </c>
      <c r="D26" s="56" t="s">
        <v>29</v>
      </c>
      <c r="E26" s="54"/>
      <c r="F26" s="54">
        <v>73</v>
      </c>
    </row>
    <row r="27" spans="1:6" ht="17.25" customHeight="1" x14ac:dyDescent="0.3">
      <c r="A27" s="54">
        <v>4</v>
      </c>
      <c r="B27" s="54"/>
      <c r="C27" s="55" t="s">
        <v>28</v>
      </c>
      <c r="D27" s="56" t="s">
        <v>337</v>
      </c>
      <c r="E27" s="54"/>
      <c r="F27" s="54">
        <v>110</v>
      </c>
    </row>
    <row r="28" spans="1:6" ht="17.25" customHeight="1" x14ac:dyDescent="0.3">
      <c r="A28" s="54">
        <v>4</v>
      </c>
      <c r="B28" s="54"/>
      <c r="C28" s="55" t="s">
        <v>28</v>
      </c>
      <c r="D28" s="56" t="s">
        <v>337</v>
      </c>
      <c r="E28" s="54"/>
      <c r="F28" s="54">
        <v>113</v>
      </c>
    </row>
    <row r="29" spans="1:6" ht="17.25" customHeight="1" x14ac:dyDescent="0.3">
      <c r="A29" s="54">
        <v>4</v>
      </c>
      <c r="B29" s="54"/>
      <c r="C29" s="55" t="s">
        <v>28</v>
      </c>
      <c r="D29" s="56" t="s">
        <v>337</v>
      </c>
      <c r="E29" s="54"/>
      <c r="F29" s="54">
        <v>161</v>
      </c>
    </row>
    <row r="30" spans="1:6" ht="17.25" customHeight="1" x14ac:dyDescent="0.3">
      <c r="A30" s="54">
        <v>4</v>
      </c>
      <c r="B30" s="54"/>
      <c r="C30" s="55" t="s">
        <v>28</v>
      </c>
      <c r="D30" s="56" t="s">
        <v>337</v>
      </c>
      <c r="E30" s="54"/>
      <c r="F30" s="54">
        <v>45</v>
      </c>
    </row>
    <row r="31" spans="1:6" ht="17.25" customHeight="1" x14ac:dyDescent="0.3">
      <c r="A31" s="54">
        <v>4</v>
      </c>
      <c r="B31" s="54"/>
      <c r="C31" s="55" t="s">
        <v>28</v>
      </c>
      <c r="D31" s="56" t="s">
        <v>335</v>
      </c>
      <c r="E31" s="54"/>
      <c r="F31" s="54">
        <v>61</v>
      </c>
    </row>
    <row r="32" spans="1:6" ht="17.25" customHeight="1" x14ac:dyDescent="0.3">
      <c r="A32" s="54">
        <v>4</v>
      </c>
      <c r="B32" s="54"/>
      <c r="C32" s="55" t="s">
        <v>83</v>
      </c>
      <c r="D32" s="56" t="s">
        <v>315</v>
      </c>
      <c r="E32" s="54" t="s">
        <v>316</v>
      </c>
      <c r="F32" s="54">
        <v>45</v>
      </c>
    </row>
    <row r="33" spans="1:6" ht="17.25" customHeight="1" x14ac:dyDescent="0.3">
      <c r="A33" s="54">
        <v>4</v>
      </c>
      <c r="B33" s="54"/>
      <c r="C33" s="55" t="s">
        <v>83</v>
      </c>
      <c r="D33" s="56" t="s">
        <v>315</v>
      </c>
      <c r="E33" s="54" t="s">
        <v>316</v>
      </c>
      <c r="F33" s="54">
        <v>18</v>
      </c>
    </row>
    <row r="34" spans="1:6" ht="17.25" customHeight="1" x14ac:dyDescent="0.3">
      <c r="A34" s="54">
        <v>4</v>
      </c>
      <c r="B34" s="54"/>
      <c r="C34" s="55" t="s">
        <v>303</v>
      </c>
      <c r="D34" s="56" t="s">
        <v>73</v>
      </c>
      <c r="E34" s="54" t="s">
        <v>304</v>
      </c>
      <c r="F34" s="54">
        <v>41</v>
      </c>
    </row>
    <row r="35" spans="1:6" ht="17.25" customHeight="1" x14ac:dyDescent="0.3">
      <c r="A35">
        <v>6</v>
      </c>
      <c r="C35" t="s">
        <v>303</v>
      </c>
      <c r="D35" t="s">
        <v>73</v>
      </c>
      <c r="E35" t="s">
        <v>304</v>
      </c>
      <c r="F35">
        <v>41</v>
      </c>
    </row>
    <row r="36" spans="1:6" ht="17.25" customHeight="1" x14ac:dyDescent="0.3">
      <c r="A36">
        <v>6</v>
      </c>
      <c r="C36" t="s">
        <v>303</v>
      </c>
      <c r="D36" t="s">
        <v>73</v>
      </c>
      <c r="E36" t="s">
        <v>304</v>
      </c>
      <c r="F36">
        <v>38</v>
      </c>
    </row>
    <row r="37" spans="1:6" ht="17.25" customHeight="1" x14ac:dyDescent="0.3">
      <c r="A37">
        <v>6</v>
      </c>
      <c r="C37" t="s">
        <v>303</v>
      </c>
      <c r="D37" t="s">
        <v>73</v>
      </c>
      <c r="E37" t="s">
        <v>304</v>
      </c>
      <c r="F37">
        <v>25</v>
      </c>
    </row>
    <row r="38" spans="1:6" ht="17.25" customHeight="1" x14ac:dyDescent="0.3">
      <c r="A38">
        <v>6</v>
      </c>
      <c r="C38" t="s">
        <v>303</v>
      </c>
      <c r="D38" t="s">
        <v>73</v>
      </c>
      <c r="E38" t="s">
        <v>304</v>
      </c>
      <c r="F38">
        <v>17</v>
      </c>
    </row>
    <row r="39" spans="1:6" ht="17.25" customHeight="1" x14ac:dyDescent="0.3">
      <c r="A39">
        <v>6</v>
      </c>
      <c r="C39" t="s">
        <v>303</v>
      </c>
      <c r="D39" t="s">
        <v>73</v>
      </c>
      <c r="E39" t="s">
        <v>304</v>
      </c>
      <c r="F39">
        <v>22</v>
      </c>
    </row>
    <row r="40" spans="1:6" ht="17.25" customHeight="1" x14ac:dyDescent="0.3">
      <c r="A40">
        <v>6</v>
      </c>
      <c r="C40" t="s">
        <v>303</v>
      </c>
      <c r="D40" t="s">
        <v>73</v>
      </c>
      <c r="E40" t="s">
        <v>304</v>
      </c>
      <c r="F40">
        <v>27</v>
      </c>
    </row>
    <row r="41" spans="1:6" ht="17.25" customHeight="1" x14ac:dyDescent="0.3">
      <c r="A41">
        <v>6</v>
      </c>
      <c r="C41" t="s">
        <v>83</v>
      </c>
      <c r="D41" t="s">
        <v>305</v>
      </c>
      <c r="F41">
        <v>58</v>
      </c>
    </row>
    <row r="42" spans="1:6" ht="17.25" customHeight="1" x14ac:dyDescent="0.3">
      <c r="A42">
        <v>6</v>
      </c>
      <c r="C42" t="s">
        <v>83</v>
      </c>
      <c r="D42" t="s">
        <v>310</v>
      </c>
      <c r="F42">
        <v>47</v>
      </c>
    </row>
    <row r="43" spans="1:6" ht="17.25" customHeight="1" x14ac:dyDescent="0.3">
      <c r="A43">
        <v>6</v>
      </c>
      <c r="C43" t="s">
        <v>83</v>
      </c>
      <c r="D43" t="s">
        <v>310</v>
      </c>
      <c r="F43">
        <v>12</v>
      </c>
    </row>
    <row r="44" spans="1:6" ht="17.25" customHeight="1" x14ac:dyDescent="0.3">
      <c r="A44">
        <v>6</v>
      </c>
      <c r="C44" t="s">
        <v>83</v>
      </c>
      <c r="D44" t="s">
        <v>310</v>
      </c>
      <c r="F44">
        <v>43</v>
      </c>
    </row>
    <row r="45" spans="1:6" ht="17.25" customHeight="1" x14ac:dyDescent="0.3">
      <c r="A45">
        <v>6</v>
      </c>
      <c r="C45" t="s">
        <v>83</v>
      </c>
      <c r="D45" t="s">
        <v>310</v>
      </c>
      <c r="F45">
        <v>26</v>
      </c>
    </row>
    <row r="46" spans="1:6" ht="17.25" customHeight="1" x14ac:dyDescent="0.3">
      <c r="A46">
        <v>6</v>
      </c>
      <c r="C46" t="s">
        <v>83</v>
      </c>
      <c r="D46" t="s">
        <v>312</v>
      </c>
      <c r="F46">
        <v>25</v>
      </c>
    </row>
    <row r="47" spans="1:6" ht="17.25" customHeight="1" x14ac:dyDescent="0.3">
      <c r="A47">
        <v>6</v>
      </c>
      <c r="C47" t="s">
        <v>83</v>
      </c>
      <c r="D47" t="s">
        <v>313</v>
      </c>
      <c r="F47">
        <v>40</v>
      </c>
    </row>
    <row r="48" spans="1:6" ht="17.25" customHeight="1" x14ac:dyDescent="0.3">
      <c r="A48">
        <v>6</v>
      </c>
      <c r="C48" t="s">
        <v>83</v>
      </c>
      <c r="D48" t="s">
        <v>313</v>
      </c>
      <c r="F48">
        <v>25</v>
      </c>
    </row>
    <row r="49" spans="1:6" ht="17.25" customHeight="1" x14ac:dyDescent="0.3">
      <c r="A49">
        <v>6</v>
      </c>
      <c r="C49" t="s">
        <v>83</v>
      </c>
      <c r="D49" t="s">
        <v>313</v>
      </c>
      <c r="F49">
        <v>50</v>
      </c>
    </row>
    <row r="50" spans="1:6" ht="17.25" customHeight="1" x14ac:dyDescent="0.3">
      <c r="A50">
        <v>6</v>
      </c>
      <c r="C50" t="s">
        <v>83</v>
      </c>
      <c r="D50" t="s">
        <v>313</v>
      </c>
      <c r="F50">
        <v>40</v>
      </c>
    </row>
    <row r="51" spans="1:6" ht="17.25" customHeight="1" x14ac:dyDescent="0.3">
      <c r="A51">
        <v>6</v>
      </c>
      <c r="C51" t="s">
        <v>83</v>
      </c>
      <c r="D51" t="s">
        <v>317</v>
      </c>
      <c r="F51">
        <v>61</v>
      </c>
    </row>
    <row r="52" spans="1:6" ht="17.25" customHeight="1" x14ac:dyDescent="0.3">
      <c r="A52">
        <v>6</v>
      </c>
      <c r="C52" t="s">
        <v>83</v>
      </c>
      <c r="D52" t="s">
        <v>317</v>
      </c>
      <c r="F52">
        <v>44</v>
      </c>
    </row>
    <row r="53" spans="1:6" ht="17.25" customHeight="1" x14ac:dyDescent="0.3">
      <c r="A53">
        <v>6</v>
      </c>
      <c r="C53" t="s">
        <v>83</v>
      </c>
      <c r="D53" t="s">
        <v>317</v>
      </c>
      <c r="F53">
        <v>70</v>
      </c>
    </row>
    <row r="54" spans="1:6" ht="17.25" customHeight="1" x14ac:dyDescent="0.3">
      <c r="A54">
        <v>6</v>
      </c>
      <c r="C54" t="s">
        <v>83</v>
      </c>
      <c r="D54" t="s">
        <v>319</v>
      </c>
      <c r="F54">
        <v>25</v>
      </c>
    </row>
    <row r="55" spans="1:6" ht="17.25" customHeight="1" x14ac:dyDescent="0.3">
      <c r="A55">
        <v>6</v>
      </c>
      <c r="C55" t="s">
        <v>327</v>
      </c>
      <c r="D55" t="s">
        <v>328</v>
      </c>
      <c r="F55">
        <v>54</v>
      </c>
    </row>
    <row r="56" spans="1:6" ht="17.25" customHeight="1" x14ac:dyDescent="0.3">
      <c r="A56">
        <v>6</v>
      </c>
      <c r="C56" t="s">
        <v>327</v>
      </c>
      <c r="D56" t="s">
        <v>331</v>
      </c>
      <c r="F56">
        <v>42</v>
      </c>
    </row>
    <row r="57" spans="1:6" ht="17.25" customHeight="1" x14ac:dyDescent="0.3">
      <c r="A57">
        <v>6</v>
      </c>
      <c r="C57" t="s">
        <v>327</v>
      </c>
      <c r="D57" t="s">
        <v>331</v>
      </c>
      <c r="F57">
        <v>135</v>
      </c>
    </row>
    <row r="58" spans="1:6" ht="17.25" customHeight="1" x14ac:dyDescent="0.3">
      <c r="A58">
        <v>6</v>
      </c>
      <c r="C58" t="s">
        <v>327</v>
      </c>
      <c r="D58" t="s">
        <v>331</v>
      </c>
      <c r="F58">
        <v>62</v>
      </c>
    </row>
    <row r="59" spans="1:6" ht="17.25" customHeight="1" x14ac:dyDescent="0.3">
      <c r="A59">
        <v>6</v>
      </c>
      <c r="C59" t="s">
        <v>327</v>
      </c>
      <c r="D59" t="s">
        <v>331</v>
      </c>
      <c r="F59">
        <v>37</v>
      </c>
    </row>
    <row r="60" spans="1:6" ht="17.25" customHeight="1" x14ac:dyDescent="0.3">
      <c r="A60">
        <v>6</v>
      </c>
      <c r="C60" t="s">
        <v>28</v>
      </c>
      <c r="D60" t="s">
        <v>29</v>
      </c>
      <c r="F60">
        <v>95</v>
      </c>
    </row>
    <row r="61" spans="1:6" ht="17.25" customHeight="1" x14ac:dyDescent="0.3">
      <c r="A61">
        <v>6</v>
      </c>
      <c r="C61" t="s">
        <v>28</v>
      </c>
      <c r="D61" t="s">
        <v>29</v>
      </c>
      <c r="F61">
        <v>53</v>
      </c>
    </row>
    <row r="62" spans="1:6" ht="17.25" customHeight="1" x14ac:dyDescent="0.3">
      <c r="A62">
        <v>6</v>
      </c>
      <c r="C62" t="s">
        <v>28</v>
      </c>
      <c r="D62" t="s">
        <v>29</v>
      </c>
      <c r="F62">
        <v>32</v>
      </c>
    </row>
    <row r="63" spans="1:6" ht="17.25" customHeight="1" x14ac:dyDescent="0.3">
      <c r="A63">
        <v>6</v>
      </c>
      <c r="C63" t="s">
        <v>28</v>
      </c>
      <c r="D63" t="s">
        <v>29</v>
      </c>
      <c r="F63">
        <v>19</v>
      </c>
    </row>
    <row r="64" spans="1:6" ht="17.25" customHeight="1" x14ac:dyDescent="0.3">
      <c r="A64">
        <v>6</v>
      </c>
      <c r="C64" t="s">
        <v>28</v>
      </c>
      <c r="D64" t="s">
        <v>29</v>
      </c>
      <c r="F64">
        <v>135</v>
      </c>
    </row>
    <row r="65" spans="1:6" ht="17.25" customHeight="1" x14ac:dyDescent="0.3">
      <c r="A65">
        <v>6</v>
      </c>
      <c r="C65" t="s">
        <v>28</v>
      </c>
      <c r="D65" t="s">
        <v>29</v>
      </c>
      <c r="F65">
        <v>80</v>
      </c>
    </row>
    <row r="66" spans="1:6" ht="17.25" customHeight="1" x14ac:dyDescent="0.3">
      <c r="A66">
        <v>6</v>
      </c>
      <c r="C66" t="s">
        <v>28</v>
      </c>
      <c r="D66" t="s">
        <v>29</v>
      </c>
      <c r="F66">
        <v>34</v>
      </c>
    </row>
    <row r="67" spans="1:6" ht="17.25" customHeight="1" x14ac:dyDescent="0.3">
      <c r="A67">
        <v>6</v>
      </c>
      <c r="C67" t="s">
        <v>28</v>
      </c>
      <c r="D67" t="s">
        <v>29</v>
      </c>
      <c r="F67">
        <v>46</v>
      </c>
    </row>
    <row r="68" spans="1:6" ht="17.25" customHeight="1" x14ac:dyDescent="0.3">
      <c r="A68">
        <v>6</v>
      </c>
      <c r="C68" t="s">
        <v>28</v>
      </c>
      <c r="D68" t="s">
        <v>29</v>
      </c>
      <c r="F68">
        <v>40</v>
      </c>
    </row>
    <row r="69" spans="1:6" ht="17.25" customHeight="1" x14ac:dyDescent="0.3">
      <c r="A69">
        <v>6</v>
      </c>
      <c r="C69" t="s">
        <v>28</v>
      </c>
      <c r="D69" t="s">
        <v>335</v>
      </c>
      <c r="F69">
        <v>19</v>
      </c>
    </row>
    <row r="70" spans="1:6" ht="17.25" customHeight="1" x14ac:dyDescent="0.3">
      <c r="A70">
        <v>6</v>
      </c>
      <c r="C70" t="s">
        <v>28</v>
      </c>
      <c r="D70" t="s">
        <v>335</v>
      </c>
      <c r="F70">
        <v>41</v>
      </c>
    </row>
    <row r="71" spans="1:6" ht="17.25" customHeight="1" x14ac:dyDescent="0.3">
      <c r="A71">
        <v>6</v>
      </c>
      <c r="C71" t="s">
        <v>28</v>
      </c>
      <c r="D71" t="s">
        <v>335</v>
      </c>
      <c r="F71">
        <v>60</v>
      </c>
    </row>
    <row r="72" spans="1:6" ht="17.25" customHeight="1" x14ac:dyDescent="0.3">
      <c r="A72">
        <v>6</v>
      </c>
      <c r="C72" t="s">
        <v>28</v>
      </c>
      <c r="D72" t="s">
        <v>337</v>
      </c>
      <c r="F72">
        <v>40</v>
      </c>
    </row>
    <row r="73" spans="1:6" ht="17.25" customHeight="1" x14ac:dyDescent="0.3">
      <c r="A73">
        <v>6</v>
      </c>
      <c r="C73" t="s">
        <v>28</v>
      </c>
      <c r="D73" t="s">
        <v>337</v>
      </c>
      <c r="F73">
        <v>30</v>
      </c>
    </row>
    <row r="74" spans="1:6" ht="17.25" customHeight="1" x14ac:dyDescent="0.3">
      <c r="A74" s="54">
        <v>3</v>
      </c>
      <c r="C74" s="55" t="s">
        <v>303</v>
      </c>
      <c r="D74" s="56" t="s">
        <v>73</v>
      </c>
      <c r="E74" s="54" t="s">
        <v>304</v>
      </c>
      <c r="F74" s="54">
        <v>46</v>
      </c>
    </row>
    <row r="75" spans="1:6" ht="17.25" customHeight="1" x14ac:dyDescent="0.3">
      <c r="A75" s="54">
        <v>3</v>
      </c>
      <c r="C75" s="55" t="s">
        <v>303</v>
      </c>
      <c r="D75" s="56" t="s">
        <v>73</v>
      </c>
      <c r="E75" s="54" t="s">
        <v>304</v>
      </c>
      <c r="F75" s="54">
        <v>20</v>
      </c>
    </row>
    <row r="76" spans="1:6" ht="17.25" customHeight="1" x14ac:dyDescent="0.3">
      <c r="A76" s="54">
        <v>3</v>
      </c>
      <c r="C76" s="55" t="s">
        <v>303</v>
      </c>
      <c r="D76" s="56" t="s">
        <v>73</v>
      </c>
      <c r="E76" s="54" t="s">
        <v>304</v>
      </c>
      <c r="F76" s="54">
        <v>1</v>
      </c>
    </row>
    <row r="77" spans="1:6" ht="17.25" customHeight="1" x14ac:dyDescent="0.3">
      <c r="A77" s="54">
        <v>3</v>
      </c>
      <c r="C77" s="55" t="s">
        <v>303</v>
      </c>
      <c r="D77" s="56" t="s">
        <v>73</v>
      </c>
      <c r="E77" s="54" t="s">
        <v>304</v>
      </c>
      <c r="F77" s="54">
        <v>8</v>
      </c>
    </row>
    <row r="78" spans="1:6" ht="17.25" customHeight="1" x14ac:dyDescent="0.3">
      <c r="A78" s="54">
        <v>3</v>
      </c>
      <c r="C78" s="55" t="s">
        <v>303</v>
      </c>
      <c r="D78" s="56" t="s">
        <v>73</v>
      </c>
      <c r="E78" s="54" t="s">
        <v>304</v>
      </c>
      <c r="F78" s="54">
        <v>18</v>
      </c>
    </row>
    <row r="79" spans="1:6" ht="17.25" customHeight="1" x14ac:dyDescent="0.3">
      <c r="A79" s="54">
        <v>3</v>
      </c>
      <c r="C79" s="55" t="s">
        <v>303</v>
      </c>
      <c r="D79" s="56" t="s">
        <v>34</v>
      </c>
      <c r="E79" s="54" t="s">
        <v>35</v>
      </c>
      <c r="F79" s="54">
        <v>20</v>
      </c>
    </row>
    <row r="80" spans="1:6" ht="17.25" customHeight="1" x14ac:dyDescent="0.3">
      <c r="A80" s="54">
        <v>3</v>
      </c>
      <c r="C80" s="55" t="s">
        <v>83</v>
      </c>
      <c r="D80" s="56" t="s">
        <v>308</v>
      </c>
      <c r="E80" s="54" t="s">
        <v>309</v>
      </c>
      <c r="F80" s="54">
        <v>94</v>
      </c>
    </row>
    <row r="81" spans="1:6" ht="17.25" customHeight="1" x14ac:dyDescent="0.3">
      <c r="A81" s="54">
        <v>3</v>
      </c>
      <c r="C81" s="55" t="s">
        <v>83</v>
      </c>
      <c r="D81" s="56" t="s">
        <v>310</v>
      </c>
      <c r="E81" s="54" t="s">
        <v>311</v>
      </c>
      <c r="F81" s="54">
        <v>40</v>
      </c>
    </row>
    <row r="82" spans="1:6" ht="17.25" customHeight="1" x14ac:dyDescent="0.3">
      <c r="A82" s="54">
        <v>3</v>
      </c>
      <c r="C82" s="55" t="s">
        <v>83</v>
      </c>
      <c r="D82" s="56" t="s">
        <v>310</v>
      </c>
      <c r="E82" s="54" t="s">
        <v>311</v>
      </c>
      <c r="F82" s="54">
        <v>118</v>
      </c>
    </row>
    <row r="83" spans="1:6" ht="17.25" customHeight="1" x14ac:dyDescent="0.3">
      <c r="A83" s="54">
        <v>3</v>
      </c>
      <c r="C83" s="55" t="s">
        <v>83</v>
      </c>
      <c r="D83" s="56" t="s">
        <v>310</v>
      </c>
      <c r="E83" s="54" t="s">
        <v>311</v>
      </c>
      <c r="F83" s="54">
        <v>29</v>
      </c>
    </row>
    <row r="84" spans="1:6" ht="17.25" customHeight="1" x14ac:dyDescent="0.3">
      <c r="A84" s="54">
        <v>3</v>
      </c>
      <c r="C84" s="55" t="s">
        <v>83</v>
      </c>
      <c r="D84" s="56" t="s">
        <v>313</v>
      </c>
      <c r="E84" s="54" t="s">
        <v>314</v>
      </c>
      <c r="F84" s="54">
        <v>40</v>
      </c>
    </row>
    <row r="85" spans="1:6" ht="17.25" customHeight="1" x14ac:dyDescent="0.3">
      <c r="A85" s="54">
        <v>3</v>
      </c>
      <c r="C85" s="55" t="s">
        <v>83</v>
      </c>
      <c r="D85" s="56" t="s">
        <v>313</v>
      </c>
      <c r="E85" s="54" t="s">
        <v>314</v>
      </c>
      <c r="F85" s="54">
        <v>40</v>
      </c>
    </row>
    <row r="86" spans="1:6" ht="17.25" customHeight="1" x14ac:dyDescent="0.3">
      <c r="A86" s="54">
        <v>3</v>
      </c>
      <c r="C86" s="55" t="s">
        <v>83</v>
      </c>
      <c r="D86" s="56" t="s">
        <v>317</v>
      </c>
      <c r="E86" s="54" t="s">
        <v>318</v>
      </c>
      <c r="F86" s="54">
        <v>1</v>
      </c>
    </row>
    <row r="87" spans="1:6" ht="17.25" customHeight="1" x14ac:dyDescent="0.3">
      <c r="A87" s="54">
        <v>3</v>
      </c>
      <c r="C87" s="55" t="s">
        <v>83</v>
      </c>
      <c r="D87" s="56" t="s">
        <v>75</v>
      </c>
      <c r="E87" s="54" t="s">
        <v>76</v>
      </c>
      <c r="F87" s="54">
        <v>1</v>
      </c>
    </row>
    <row r="88" spans="1:6" ht="17.25" customHeight="1" x14ac:dyDescent="0.3">
      <c r="A88" s="54">
        <v>3</v>
      </c>
      <c r="C88" s="55" t="s">
        <v>83</v>
      </c>
      <c r="D88" s="56" t="s">
        <v>75</v>
      </c>
      <c r="E88" s="54" t="s">
        <v>76</v>
      </c>
      <c r="F88" s="54">
        <v>7</v>
      </c>
    </row>
    <row r="89" spans="1:6" ht="17.25" customHeight="1" x14ac:dyDescent="0.3">
      <c r="A89" s="54">
        <v>3</v>
      </c>
      <c r="C89" s="55" t="s">
        <v>83</v>
      </c>
      <c r="D89" s="56" t="s">
        <v>320</v>
      </c>
      <c r="E89" s="54" t="s">
        <v>321</v>
      </c>
      <c r="F89" s="54">
        <v>100</v>
      </c>
    </row>
    <row r="90" spans="1:6" ht="17.25" customHeight="1" x14ac:dyDescent="0.3">
      <c r="A90" s="54">
        <v>3</v>
      </c>
      <c r="C90" s="55" t="s">
        <v>327</v>
      </c>
      <c r="D90" s="56" t="s">
        <v>331</v>
      </c>
      <c r="E90" s="54" t="s">
        <v>332</v>
      </c>
      <c r="F90" s="54">
        <v>90</v>
      </c>
    </row>
    <row r="91" spans="1:6" ht="17.25" customHeight="1" x14ac:dyDescent="0.3">
      <c r="A91" s="54">
        <v>3</v>
      </c>
      <c r="C91" s="55" t="s">
        <v>327</v>
      </c>
      <c r="D91" s="56" t="s">
        <v>331</v>
      </c>
      <c r="E91" s="54" t="s">
        <v>332</v>
      </c>
      <c r="F91" s="54">
        <v>67</v>
      </c>
    </row>
    <row r="92" spans="1:6" ht="17.25" customHeight="1" x14ac:dyDescent="0.3">
      <c r="A92" s="54">
        <v>3</v>
      </c>
      <c r="C92" s="55" t="s">
        <v>327</v>
      </c>
      <c r="D92" s="56" t="s">
        <v>331</v>
      </c>
      <c r="E92" s="54" t="s">
        <v>332</v>
      </c>
      <c r="F92" s="54">
        <v>96</v>
      </c>
    </row>
    <row r="93" spans="1:6" ht="17.25" customHeight="1" x14ac:dyDescent="0.3">
      <c r="A93" s="54">
        <v>3</v>
      </c>
      <c r="C93" s="55" t="s">
        <v>327</v>
      </c>
      <c r="D93" s="56" t="s">
        <v>331</v>
      </c>
      <c r="E93" s="54" t="s">
        <v>332</v>
      </c>
      <c r="F93" s="54">
        <v>40</v>
      </c>
    </row>
    <row r="94" spans="1:6" ht="17.25" customHeight="1" x14ac:dyDescent="0.3">
      <c r="A94" s="54">
        <v>3</v>
      </c>
      <c r="C94" s="55" t="s">
        <v>327</v>
      </c>
      <c r="D94" s="56" t="s">
        <v>331</v>
      </c>
      <c r="E94" s="54" t="s">
        <v>332</v>
      </c>
      <c r="F94" s="54">
        <v>118</v>
      </c>
    </row>
    <row r="95" spans="1:6" ht="17.25" customHeight="1" x14ac:dyDescent="0.3">
      <c r="A95" s="54">
        <v>3</v>
      </c>
      <c r="C95" s="55" t="s">
        <v>327</v>
      </c>
      <c r="D95" s="56" t="s">
        <v>331</v>
      </c>
      <c r="E95" s="54" t="s">
        <v>332</v>
      </c>
      <c r="F95" s="54">
        <v>100</v>
      </c>
    </row>
    <row r="96" spans="1:6" ht="17.25" customHeight="1" x14ac:dyDescent="0.3">
      <c r="A96" s="54">
        <v>3</v>
      </c>
      <c r="C96" s="55" t="s">
        <v>327</v>
      </c>
      <c r="D96" s="56" t="s">
        <v>331</v>
      </c>
      <c r="E96" s="54" t="s">
        <v>332</v>
      </c>
      <c r="F96" s="54">
        <v>21</v>
      </c>
    </row>
    <row r="97" spans="1:6" ht="17.25" customHeight="1" x14ac:dyDescent="0.3">
      <c r="A97" s="54">
        <v>3</v>
      </c>
      <c r="C97" s="55" t="s">
        <v>327</v>
      </c>
      <c r="D97" s="56" t="s">
        <v>331</v>
      </c>
      <c r="E97" s="54" t="s">
        <v>332</v>
      </c>
      <c r="F97" s="54">
        <v>94</v>
      </c>
    </row>
    <row r="98" spans="1:6" ht="17.25" customHeight="1" x14ac:dyDescent="0.3">
      <c r="A98" s="54">
        <v>3</v>
      </c>
      <c r="C98" s="55" t="s">
        <v>327</v>
      </c>
      <c r="D98" s="56" t="s">
        <v>333</v>
      </c>
      <c r="E98" s="54" t="s">
        <v>334</v>
      </c>
      <c r="F98" s="54">
        <v>60</v>
      </c>
    </row>
    <row r="99" spans="1:6" ht="17.25" customHeight="1" x14ac:dyDescent="0.3">
      <c r="A99" s="54">
        <v>3</v>
      </c>
      <c r="C99" s="55" t="s">
        <v>28</v>
      </c>
      <c r="D99" s="56" t="s">
        <v>29</v>
      </c>
      <c r="F99" s="54">
        <v>48</v>
      </c>
    </row>
    <row r="100" spans="1:6" ht="17.25" customHeight="1" x14ac:dyDescent="0.3">
      <c r="A100" s="54">
        <v>3</v>
      </c>
      <c r="C100" s="55" t="s">
        <v>28</v>
      </c>
      <c r="D100" s="56" t="s">
        <v>29</v>
      </c>
      <c r="F100" s="54">
        <v>63</v>
      </c>
    </row>
    <row r="101" spans="1:6" ht="17.25" customHeight="1" x14ac:dyDescent="0.3">
      <c r="A101" s="54">
        <v>3</v>
      </c>
      <c r="C101" s="55" t="s">
        <v>28</v>
      </c>
      <c r="D101" s="56" t="s">
        <v>29</v>
      </c>
      <c r="F101" s="54">
        <v>25</v>
      </c>
    </row>
    <row r="102" spans="1:6" ht="17.25" customHeight="1" x14ac:dyDescent="0.3">
      <c r="A102" s="54">
        <v>3</v>
      </c>
      <c r="C102" s="55" t="s">
        <v>28</v>
      </c>
      <c r="D102" s="56" t="s">
        <v>29</v>
      </c>
      <c r="F102" s="54">
        <v>118</v>
      </c>
    </row>
    <row r="103" spans="1:6" ht="17.25" customHeight="1" x14ac:dyDescent="0.3">
      <c r="A103" s="54">
        <v>3</v>
      </c>
      <c r="C103" s="55" t="s">
        <v>28</v>
      </c>
      <c r="D103" s="56" t="s">
        <v>29</v>
      </c>
      <c r="F103" s="54">
        <v>42</v>
      </c>
    </row>
    <row r="104" spans="1:6" ht="17.25" customHeight="1" x14ac:dyDescent="0.3">
      <c r="A104" s="54">
        <v>3</v>
      </c>
      <c r="C104" s="55" t="s">
        <v>28</v>
      </c>
      <c r="D104" s="56" t="s">
        <v>29</v>
      </c>
      <c r="F104" s="54">
        <v>20</v>
      </c>
    </row>
    <row r="105" spans="1:6" ht="17.25" customHeight="1" x14ac:dyDescent="0.3">
      <c r="A105" s="54">
        <v>3</v>
      </c>
      <c r="C105" s="55" t="s">
        <v>28</v>
      </c>
      <c r="D105" s="56" t="s">
        <v>29</v>
      </c>
      <c r="F105" s="54">
        <v>3</v>
      </c>
    </row>
    <row r="106" spans="1:6" ht="17.25" customHeight="1" x14ac:dyDescent="0.3">
      <c r="A106" s="54">
        <v>3</v>
      </c>
      <c r="C106" s="55" t="s">
        <v>28</v>
      </c>
      <c r="D106" s="56" t="s">
        <v>29</v>
      </c>
      <c r="F106" s="54">
        <v>71</v>
      </c>
    </row>
    <row r="107" spans="1:6" ht="17.25" customHeight="1" x14ac:dyDescent="0.3">
      <c r="A107" s="54">
        <v>3</v>
      </c>
      <c r="C107" s="55" t="s">
        <v>28</v>
      </c>
      <c r="D107" s="56" t="s">
        <v>29</v>
      </c>
      <c r="F107" s="54">
        <v>1</v>
      </c>
    </row>
    <row r="108" spans="1:6" ht="17.25" customHeight="1" x14ac:dyDescent="0.3">
      <c r="A108" s="54">
        <v>3</v>
      </c>
      <c r="C108" s="55" t="s">
        <v>28</v>
      </c>
      <c r="D108" s="56" t="s">
        <v>29</v>
      </c>
      <c r="F108" s="54">
        <v>20</v>
      </c>
    </row>
    <row r="109" spans="1:6" ht="17.25" customHeight="1" x14ac:dyDescent="0.3">
      <c r="A109" s="54">
        <v>3</v>
      </c>
      <c r="C109" s="55" t="s">
        <v>28</v>
      </c>
      <c r="D109" s="56" t="s">
        <v>29</v>
      </c>
      <c r="F109" s="54">
        <v>21</v>
      </c>
    </row>
    <row r="110" spans="1:6" ht="17.25" customHeight="1" x14ac:dyDescent="0.3">
      <c r="A110" s="54">
        <v>3</v>
      </c>
      <c r="C110" s="55" t="s">
        <v>28</v>
      </c>
      <c r="D110" s="56" t="s">
        <v>29</v>
      </c>
      <c r="F110" s="54">
        <v>23</v>
      </c>
    </row>
    <row r="111" spans="1:6" ht="17.25" customHeight="1" x14ac:dyDescent="0.3">
      <c r="A111" s="54">
        <v>3</v>
      </c>
      <c r="C111" s="55" t="s">
        <v>28</v>
      </c>
      <c r="D111" s="56" t="s">
        <v>29</v>
      </c>
      <c r="F111" s="54">
        <v>14</v>
      </c>
    </row>
    <row r="112" spans="1:6" ht="17.25" customHeight="1" x14ac:dyDescent="0.3">
      <c r="A112" s="54">
        <v>3</v>
      </c>
      <c r="C112" s="55" t="s">
        <v>28</v>
      </c>
      <c r="D112" s="56" t="s">
        <v>335</v>
      </c>
      <c r="F112" s="54">
        <v>78</v>
      </c>
    </row>
    <row r="113" spans="1:6" ht="17.25" customHeight="1" x14ac:dyDescent="0.3">
      <c r="A113" s="54">
        <v>3</v>
      </c>
      <c r="C113" s="55" t="s">
        <v>28</v>
      </c>
      <c r="D113" s="56" t="s">
        <v>336</v>
      </c>
      <c r="F113" s="54">
        <v>118</v>
      </c>
    </row>
    <row r="114" spans="1:6" ht="17.25" customHeight="1" x14ac:dyDescent="0.3">
      <c r="A114" s="54">
        <v>3</v>
      </c>
      <c r="C114" s="55" t="s">
        <v>28</v>
      </c>
      <c r="D114" s="56" t="s">
        <v>337</v>
      </c>
      <c r="F114" s="54">
        <v>9</v>
      </c>
    </row>
    <row r="115" spans="1:6" ht="17.25" customHeight="1" x14ac:dyDescent="0.3">
      <c r="A115" s="54">
        <v>3</v>
      </c>
      <c r="C115" s="55" t="s">
        <v>28</v>
      </c>
      <c r="D115" s="56" t="s">
        <v>337</v>
      </c>
      <c r="F115" s="54">
        <v>42</v>
      </c>
    </row>
    <row r="116" spans="1:6" ht="17.25" customHeight="1" x14ac:dyDescent="0.3">
      <c r="A116" s="54">
        <v>3</v>
      </c>
      <c r="C116" s="55" t="s">
        <v>28</v>
      </c>
      <c r="D116" s="56" t="s">
        <v>337</v>
      </c>
      <c r="F116" s="54">
        <v>1</v>
      </c>
    </row>
    <row r="117" spans="1:6" ht="17.25" customHeight="1" x14ac:dyDescent="0.3">
      <c r="A117" s="54">
        <v>3</v>
      </c>
      <c r="C117" s="55" t="s">
        <v>28</v>
      </c>
      <c r="D117" s="56" t="s">
        <v>337</v>
      </c>
      <c r="F117" s="54">
        <v>7</v>
      </c>
    </row>
    <row r="118" spans="1:6" ht="17.25" customHeight="1" x14ac:dyDescent="0.3">
      <c r="A118">
        <v>2</v>
      </c>
      <c r="C118" t="s">
        <v>303</v>
      </c>
      <c r="D118" t="s">
        <v>73</v>
      </c>
      <c r="E118" t="s">
        <v>304</v>
      </c>
      <c r="F118">
        <v>26</v>
      </c>
    </row>
    <row r="119" spans="1:6" ht="17.25" customHeight="1" x14ac:dyDescent="0.3">
      <c r="A119">
        <v>2</v>
      </c>
      <c r="C119" t="s">
        <v>303</v>
      </c>
      <c r="D119" t="s">
        <v>73</v>
      </c>
      <c r="E119" t="s">
        <v>304</v>
      </c>
      <c r="F119">
        <v>26</v>
      </c>
    </row>
    <row r="120" spans="1:6" ht="17.25" customHeight="1" x14ac:dyDescent="0.3">
      <c r="A120">
        <v>2</v>
      </c>
      <c r="C120" t="s">
        <v>83</v>
      </c>
      <c r="D120" t="s">
        <v>305</v>
      </c>
      <c r="E120" t="s">
        <v>338</v>
      </c>
      <c r="F120">
        <v>35</v>
      </c>
    </row>
    <row r="121" spans="1:6" ht="17.25" customHeight="1" x14ac:dyDescent="0.3">
      <c r="A121">
        <v>2</v>
      </c>
      <c r="C121" t="s">
        <v>83</v>
      </c>
      <c r="D121" t="s">
        <v>310</v>
      </c>
      <c r="E121" t="s">
        <v>311</v>
      </c>
      <c r="F121">
        <v>20</v>
      </c>
    </row>
    <row r="122" spans="1:6" ht="17.25" customHeight="1" x14ac:dyDescent="0.3">
      <c r="A122">
        <v>2</v>
      </c>
      <c r="C122" t="s">
        <v>83</v>
      </c>
      <c r="D122" t="s">
        <v>310</v>
      </c>
      <c r="E122" t="s">
        <v>311</v>
      </c>
      <c r="F122">
        <v>89</v>
      </c>
    </row>
    <row r="123" spans="1:6" ht="17.25" customHeight="1" x14ac:dyDescent="0.3">
      <c r="A123">
        <v>2</v>
      </c>
      <c r="C123" t="s">
        <v>83</v>
      </c>
      <c r="D123" t="s">
        <v>310</v>
      </c>
      <c r="E123" t="s">
        <v>311</v>
      </c>
      <c r="F123">
        <v>31</v>
      </c>
    </row>
    <row r="124" spans="1:6" ht="17.25" customHeight="1" x14ac:dyDescent="0.3">
      <c r="A124">
        <v>2</v>
      </c>
      <c r="C124" t="s">
        <v>83</v>
      </c>
      <c r="D124" t="s">
        <v>310</v>
      </c>
      <c r="E124" t="s">
        <v>311</v>
      </c>
      <c r="F124">
        <v>85</v>
      </c>
    </row>
    <row r="125" spans="1:6" ht="17.25" customHeight="1" x14ac:dyDescent="0.3">
      <c r="A125">
        <v>2</v>
      </c>
      <c r="C125" t="s">
        <v>83</v>
      </c>
      <c r="D125" t="s">
        <v>310</v>
      </c>
      <c r="E125" t="s">
        <v>311</v>
      </c>
      <c r="F125">
        <v>45</v>
      </c>
    </row>
    <row r="126" spans="1:6" ht="17.25" customHeight="1" x14ac:dyDescent="0.3">
      <c r="A126">
        <v>2</v>
      </c>
      <c r="C126" t="s">
        <v>83</v>
      </c>
      <c r="D126" t="s">
        <v>313</v>
      </c>
      <c r="E126" t="s">
        <v>314</v>
      </c>
      <c r="F126">
        <v>38</v>
      </c>
    </row>
    <row r="127" spans="1:6" ht="17.25" customHeight="1" x14ac:dyDescent="0.3">
      <c r="A127">
        <v>2</v>
      </c>
      <c r="C127" t="s">
        <v>83</v>
      </c>
      <c r="D127" t="s">
        <v>313</v>
      </c>
      <c r="E127" t="s">
        <v>314</v>
      </c>
      <c r="F127">
        <v>52</v>
      </c>
    </row>
    <row r="128" spans="1:6" ht="17.25" customHeight="1" x14ac:dyDescent="0.3">
      <c r="A128">
        <v>2</v>
      </c>
      <c r="C128" t="s">
        <v>83</v>
      </c>
      <c r="D128" t="s">
        <v>315</v>
      </c>
      <c r="E128" t="s">
        <v>316</v>
      </c>
      <c r="F128">
        <v>39</v>
      </c>
    </row>
    <row r="129" spans="1:6" ht="17.25" customHeight="1" x14ac:dyDescent="0.3">
      <c r="A129">
        <v>2</v>
      </c>
      <c r="C129" t="s">
        <v>83</v>
      </c>
      <c r="D129" t="s">
        <v>315</v>
      </c>
      <c r="E129" t="s">
        <v>316</v>
      </c>
      <c r="F129">
        <v>27</v>
      </c>
    </row>
    <row r="130" spans="1:6" ht="17.25" customHeight="1" x14ac:dyDescent="0.3">
      <c r="A130">
        <v>2</v>
      </c>
      <c r="C130" t="s">
        <v>83</v>
      </c>
      <c r="D130" t="s">
        <v>315</v>
      </c>
      <c r="E130" t="s">
        <v>316</v>
      </c>
      <c r="F130">
        <v>38</v>
      </c>
    </row>
    <row r="131" spans="1:6" ht="17.25" customHeight="1" x14ac:dyDescent="0.3">
      <c r="A131">
        <v>2</v>
      </c>
      <c r="C131" t="s">
        <v>83</v>
      </c>
      <c r="D131" t="s">
        <v>315</v>
      </c>
      <c r="E131" t="s">
        <v>316</v>
      </c>
      <c r="F131">
        <v>31</v>
      </c>
    </row>
    <row r="132" spans="1:6" ht="17.25" customHeight="1" x14ac:dyDescent="0.3">
      <c r="A132">
        <v>2</v>
      </c>
      <c r="C132" t="s">
        <v>83</v>
      </c>
      <c r="D132" t="s">
        <v>317</v>
      </c>
      <c r="E132" t="s">
        <v>318</v>
      </c>
      <c r="F132">
        <v>38</v>
      </c>
    </row>
    <row r="133" spans="1:6" ht="17.25" customHeight="1" x14ac:dyDescent="0.3">
      <c r="A133">
        <v>2</v>
      </c>
      <c r="C133" t="s">
        <v>327</v>
      </c>
      <c r="D133" t="s">
        <v>331</v>
      </c>
      <c r="E133" t="s">
        <v>332</v>
      </c>
      <c r="F133">
        <v>90</v>
      </c>
    </row>
    <row r="134" spans="1:6" ht="17.25" customHeight="1" x14ac:dyDescent="0.3">
      <c r="A134">
        <v>2</v>
      </c>
      <c r="C134" t="s">
        <v>327</v>
      </c>
      <c r="D134" t="s">
        <v>331</v>
      </c>
      <c r="E134" t="s">
        <v>332</v>
      </c>
      <c r="F134">
        <v>22</v>
      </c>
    </row>
    <row r="135" spans="1:6" ht="17.25" customHeight="1" x14ac:dyDescent="0.3">
      <c r="A135">
        <v>2</v>
      </c>
      <c r="C135" t="s">
        <v>327</v>
      </c>
      <c r="D135" t="s">
        <v>331</v>
      </c>
      <c r="E135" t="s">
        <v>332</v>
      </c>
      <c r="F135">
        <v>54</v>
      </c>
    </row>
    <row r="136" spans="1:6" ht="17.25" customHeight="1" x14ac:dyDescent="0.3">
      <c r="A136">
        <v>2</v>
      </c>
      <c r="C136" t="s">
        <v>327</v>
      </c>
      <c r="D136" t="s">
        <v>331</v>
      </c>
      <c r="E136" t="s">
        <v>332</v>
      </c>
      <c r="F136">
        <v>100</v>
      </c>
    </row>
    <row r="137" spans="1:6" ht="17.25" customHeight="1" x14ac:dyDescent="0.3">
      <c r="A137">
        <v>2</v>
      </c>
      <c r="C137" t="s">
        <v>327</v>
      </c>
      <c r="D137" t="s">
        <v>331</v>
      </c>
      <c r="E137" t="s">
        <v>332</v>
      </c>
      <c r="F137">
        <v>110</v>
      </c>
    </row>
    <row r="138" spans="1:6" ht="17.25" customHeight="1" x14ac:dyDescent="0.3">
      <c r="A138">
        <v>2</v>
      </c>
      <c r="C138" t="s">
        <v>327</v>
      </c>
      <c r="D138" t="s">
        <v>331</v>
      </c>
      <c r="E138" t="s">
        <v>332</v>
      </c>
      <c r="F138">
        <v>100</v>
      </c>
    </row>
    <row r="139" spans="1:6" ht="17.25" customHeight="1" x14ac:dyDescent="0.3">
      <c r="A139">
        <v>2</v>
      </c>
      <c r="C139" t="s">
        <v>327</v>
      </c>
      <c r="D139" t="s">
        <v>331</v>
      </c>
      <c r="E139" t="s">
        <v>332</v>
      </c>
      <c r="F139">
        <v>31</v>
      </c>
    </row>
    <row r="140" spans="1:6" ht="17.25" customHeight="1" x14ac:dyDescent="0.3">
      <c r="A140">
        <v>2</v>
      </c>
      <c r="C140" t="s">
        <v>327</v>
      </c>
      <c r="D140" t="s">
        <v>331</v>
      </c>
      <c r="E140" t="s">
        <v>332</v>
      </c>
      <c r="F140">
        <v>34</v>
      </c>
    </row>
    <row r="141" spans="1:6" ht="17.25" customHeight="1" x14ac:dyDescent="0.3">
      <c r="A141">
        <v>2</v>
      </c>
      <c r="C141" t="s">
        <v>327</v>
      </c>
      <c r="D141" t="s">
        <v>331</v>
      </c>
      <c r="E141" t="s">
        <v>332</v>
      </c>
      <c r="F141">
        <v>43</v>
      </c>
    </row>
    <row r="142" spans="1:6" ht="17.25" customHeight="1" x14ac:dyDescent="0.3">
      <c r="A142">
        <v>2</v>
      </c>
      <c r="C142" t="s">
        <v>327</v>
      </c>
      <c r="D142" t="s">
        <v>333</v>
      </c>
      <c r="E142" t="s">
        <v>334</v>
      </c>
      <c r="F142">
        <v>46</v>
      </c>
    </row>
    <row r="143" spans="1:6" ht="17.25" customHeight="1" x14ac:dyDescent="0.3">
      <c r="A143">
        <v>2</v>
      </c>
      <c r="C143" t="s">
        <v>28</v>
      </c>
      <c r="D143" t="s">
        <v>29</v>
      </c>
      <c r="F143">
        <v>22</v>
      </c>
    </row>
    <row r="144" spans="1:6" ht="17.25" customHeight="1" x14ac:dyDescent="0.3">
      <c r="A144">
        <v>2</v>
      </c>
      <c r="C144" t="s">
        <v>28</v>
      </c>
      <c r="D144" t="s">
        <v>29</v>
      </c>
      <c r="F144">
        <v>20</v>
      </c>
    </row>
    <row r="145" spans="1:6" ht="17.25" customHeight="1" x14ac:dyDescent="0.3">
      <c r="A145">
        <v>2</v>
      </c>
      <c r="C145" t="s">
        <v>28</v>
      </c>
      <c r="D145" t="s">
        <v>335</v>
      </c>
      <c r="F145">
        <v>31</v>
      </c>
    </row>
    <row r="146" spans="1:6" ht="17.25" customHeight="1" x14ac:dyDescent="0.3">
      <c r="A146">
        <v>2</v>
      </c>
      <c r="C146" t="s">
        <v>28</v>
      </c>
      <c r="D146" t="s">
        <v>335</v>
      </c>
      <c r="F146">
        <v>35</v>
      </c>
    </row>
    <row r="147" spans="1:6" ht="17.25" customHeight="1" x14ac:dyDescent="0.3">
      <c r="A147">
        <v>2</v>
      </c>
      <c r="C147" t="s">
        <v>28</v>
      </c>
      <c r="D147" t="s">
        <v>335</v>
      </c>
      <c r="F147">
        <v>52</v>
      </c>
    </row>
    <row r="148" spans="1:6" ht="17.25" customHeight="1" x14ac:dyDescent="0.3">
      <c r="A148">
        <v>2</v>
      </c>
      <c r="C148" t="s">
        <v>28</v>
      </c>
      <c r="D148" t="s">
        <v>337</v>
      </c>
      <c r="F148">
        <v>19</v>
      </c>
    </row>
    <row r="149" spans="1:6" ht="17.25" customHeight="1" x14ac:dyDescent="0.3">
      <c r="A149">
        <v>2</v>
      </c>
      <c r="C149" t="s">
        <v>28</v>
      </c>
      <c r="D149" t="s">
        <v>337</v>
      </c>
      <c r="F149">
        <v>45</v>
      </c>
    </row>
    <row r="150" spans="1:6" ht="17.25" customHeight="1" x14ac:dyDescent="0.3">
      <c r="A150">
        <v>2</v>
      </c>
      <c r="C150" t="s">
        <v>28</v>
      </c>
      <c r="D150" t="s">
        <v>337</v>
      </c>
      <c r="F150">
        <v>35</v>
      </c>
    </row>
    <row r="151" spans="1:6" ht="17.25" customHeight="1" x14ac:dyDescent="0.3">
      <c r="A151">
        <v>2</v>
      </c>
      <c r="C151" t="s">
        <v>28</v>
      </c>
      <c r="D151" t="s">
        <v>337</v>
      </c>
      <c r="F151">
        <v>25</v>
      </c>
    </row>
    <row r="152" spans="1:6" ht="17.25" customHeight="1" x14ac:dyDescent="0.3">
      <c r="A152">
        <v>2</v>
      </c>
      <c r="C152" t="s">
        <v>28</v>
      </c>
      <c r="D152" t="s">
        <v>337</v>
      </c>
      <c r="F152">
        <v>30</v>
      </c>
    </row>
    <row r="153" spans="1:6" ht="17.25" customHeight="1" x14ac:dyDescent="0.3">
      <c r="A153">
        <v>2</v>
      </c>
      <c r="C153" t="s">
        <v>28</v>
      </c>
      <c r="D153" t="s">
        <v>337</v>
      </c>
      <c r="F153">
        <v>44</v>
      </c>
    </row>
    <row r="154" spans="1:6" ht="17.25" customHeight="1" x14ac:dyDescent="0.3">
      <c r="A154">
        <v>2</v>
      </c>
      <c r="C154" t="s">
        <v>28</v>
      </c>
      <c r="D154" t="s">
        <v>337</v>
      </c>
      <c r="F154">
        <v>39</v>
      </c>
    </row>
    <row r="155" spans="1:6" ht="17.25" customHeight="1" x14ac:dyDescent="0.3">
      <c r="A155" s="57">
        <v>1</v>
      </c>
      <c r="B155" s="57"/>
      <c r="C155" s="58" t="s">
        <v>303</v>
      </c>
      <c r="D155" s="59" t="s">
        <v>34</v>
      </c>
      <c r="E155" s="57" t="s">
        <v>35</v>
      </c>
      <c r="F155" s="57">
        <v>19</v>
      </c>
    </row>
    <row r="156" spans="1:6" ht="17.25" customHeight="1" x14ac:dyDescent="0.3">
      <c r="A156" s="57">
        <v>1</v>
      </c>
      <c r="B156" s="57"/>
      <c r="C156" s="58" t="s">
        <v>303</v>
      </c>
      <c r="D156" s="59" t="s">
        <v>73</v>
      </c>
      <c r="E156" s="57" t="s">
        <v>304</v>
      </c>
      <c r="F156" s="57">
        <v>40</v>
      </c>
    </row>
    <row r="157" spans="1:6" ht="17.25" customHeight="1" x14ac:dyDescent="0.3">
      <c r="A157" s="57">
        <v>1</v>
      </c>
      <c r="B157" s="57"/>
      <c r="C157" s="58" t="s">
        <v>303</v>
      </c>
      <c r="D157" s="59" t="s">
        <v>73</v>
      </c>
      <c r="E157" s="57" t="s">
        <v>304</v>
      </c>
      <c r="F157" s="57">
        <v>28</v>
      </c>
    </row>
    <row r="158" spans="1:6" ht="17.25" customHeight="1" x14ac:dyDescent="0.3">
      <c r="A158" s="57">
        <v>1</v>
      </c>
      <c r="B158" s="57"/>
      <c r="C158" s="58" t="s">
        <v>303</v>
      </c>
      <c r="D158" s="59" t="s">
        <v>73</v>
      </c>
      <c r="E158" s="57" t="s">
        <v>304</v>
      </c>
      <c r="F158" s="57">
        <v>13</v>
      </c>
    </row>
    <row r="159" spans="1:6" ht="17.25" customHeight="1" x14ac:dyDescent="0.3">
      <c r="A159" s="57">
        <v>1</v>
      </c>
      <c r="B159" s="57"/>
      <c r="C159" s="58" t="s">
        <v>303</v>
      </c>
      <c r="D159" s="59" t="s">
        <v>44</v>
      </c>
      <c r="E159" s="57" t="s">
        <v>340</v>
      </c>
      <c r="F159" s="57">
        <v>13</v>
      </c>
    </row>
    <row r="160" spans="1:6" ht="17.25" customHeight="1" x14ac:dyDescent="0.3">
      <c r="A160" s="57">
        <v>1</v>
      </c>
      <c r="B160" s="57"/>
      <c r="C160" s="58" t="s">
        <v>303</v>
      </c>
      <c r="D160" s="59" t="s">
        <v>44</v>
      </c>
      <c r="E160" s="57" t="s">
        <v>340</v>
      </c>
      <c r="F160" s="57">
        <v>10</v>
      </c>
    </row>
    <row r="161" spans="1:6" ht="17.25" customHeight="1" x14ac:dyDescent="0.3">
      <c r="A161" s="57">
        <v>1</v>
      </c>
      <c r="B161" s="57"/>
      <c r="C161" s="58" t="s">
        <v>303</v>
      </c>
      <c r="D161" s="59" t="s">
        <v>73</v>
      </c>
      <c r="E161" s="57" t="s">
        <v>304</v>
      </c>
      <c r="F161" s="57">
        <v>20</v>
      </c>
    </row>
    <row r="162" spans="1:6" ht="17.25" customHeight="1" x14ac:dyDescent="0.3">
      <c r="A162" s="57">
        <v>1</v>
      </c>
      <c r="B162" s="57"/>
      <c r="C162" s="58" t="s">
        <v>83</v>
      </c>
      <c r="D162" s="59" t="s">
        <v>51</v>
      </c>
      <c r="E162" s="57" t="s">
        <v>341</v>
      </c>
      <c r="F162" s="57">
        <v>14</v>
      </c>
    </row>
    <row r="163" spans="1:6" ht="17.25" customHeight="1" x14ac:dyDescent="0.3">
      <c r="A163" s="57">
        <v>1</v>
      </c>
      <c r="B163" s="57"/>
      <c r="C163" s="58" t="s">
        <v>83</v>
      </c>
      <c r="D163" s="59" t="s">
        <v>51</v>
      </c>
      <c r="E163" s="57" t="s">
        <v>341</v>
      </c>
      <c r="F163" s="57">
        <v>41</v>
      </c>
    </row>
    <row r="164" spans="1:6" ht="17.25" customHeight="1" x14ac:dyDescent="0.3">
      <c r="A164" s="57">
        <v>1</v>
      </c>
      <c r="B164" s="57"/>
      <c r="C164" s="58" t="s">
        <v>83</v>
      </c>
      <c r="D164" s="59" t="s">
        <v>305</v>
      </c>
      <c r="E164" s="57" t="s">
        <v>339</v>
      </c>
      <c r="F164" s="57">
        <v>63</v>
      </c>
    </row>
    <row r="165" spans="1:6" ht="17.25" customHeight="1" x14ac:dyDescent="0.3">
      <c r="A165" s="57">
        <v>1</v>
      </c>
      <c r="B165" s="57"/>
      <c r="C165" s="58" t="s">
        <v>83</v>
      </c>
      <c r="D165" s="59" t="s">
        <v>305</v>
      </c>
      <c r="E165" s="57" t="s">
        <v>339</v>
      </c>
      <c r="F165" s="57">
        <v>89</v>
      </c>
    </row>
    <row r="166" spans="1:6" ht="17.25" customHeight="1" x14ac:dyDescent="0.3">
      <c r="A166" s="57">
        <v>1</v>
      </c>
      <c r="B166" s="57"/>
      <c r="C166" s="58" t="s">
        <v>83</v>
      </c>
      <c r="D166" s="59" t="s">
        <v>305</v>
      </c>
      <c r="E166" s="57" t="s">
        <v>339</v>
      </c>
      <c r="F166" s="57">
        <v>103</v>
      </c>
    </row>
    <row r="167" spans="1:6" ht="17.25" customHeight="1" x14ac:dyDescent="0.3">
      <c r="A167" s="57">
        <v>1</v>
      </c>
      <c r="B167" s="57"/>
      <c r="C167" s="58" t="s">
        <v>83</v>
      </c>
      <c r="D167" s="59" t="s">
        <v>308</v>
      </c>
      <c r="E167" s="57" t="s">
        <v>309</v>
      </c>
      <c r="F167" s="57">
        <v>89</v>
      </c>
    </row>
    <row r="168" spans="1:6" ht="17.25" customHeight="1" x14ac:dyDescent="0.3">
      <c r="A168" s="57">
        <v>1</v>
      </c>
      <c r="B168" s="57"/>
      <c r="C168" s="58" t="s">
        <v>83</v>
      </c>
      <c r="D168" s="59" t="s">
        <v>308</v>
      </c>
      <c r="E168" s="57" t="s">
        <v>309</v>
      </c>
      <c r="F168" s="57">
        <v>22</v>
      </c>
    </row>
    <row r="169" spans="1:6" ht="17.25" customHeight="1" x14ac:dyDescent="0.3">
      <c r="A169" s="57">
        <v>1</v>
      </c>
      <c r="B169" s="57"/>
      <c r="C169" s="58" t="s">
        <v>83</v>
      </c>
      <c r="D169" s="59" t="s">
        <v>310</v>
      </c>
      <c r="E169" s="57" t="s">
        <v>311</v>
      </c>
      <c r="F169" s="57">
        <v>40</v>
      </c>
    </row>
    <row r="170" spans="1:6" ht="17.25" customHeight="1" x14ac:dyDescent="0.3">
      <c r="A170" s="57">
        <v>1</v>
      </c>
      <c r="B170" s="57"/>
      <c r="C170" s="58" t="s">
        <v>83</v>
      </c>
      <c r="D170" s="59" t="s">
        <v>310</v>
      </c>
      <c r="E170" s="57" t="s">
        <v>311</v>
      </c>
      <c r="F170" s="57">
        <v>42</v>
      </c>
    </row>
    <row r="171" spans="1:6" ht="17.25" customHeight="1" x14ac:dyDescent="0.3">
      <c r="A171" s="57">
        <v>1</v>
      </c>
      <c r="B171" s="57"/>
      <c r="C171" s="58" t="s">
        <v>83</v>
      </c>
      <c r="D171" s="59" t="s">
        <v>310</v>
      </c>
      <c r="E171" s="57" t="s">
        <v>311</v>
      </c>
      <c r="F171" s="57">
        <v>23</v>
      </c>
    </row>
    <row r="172" spans="1:6" ht="17.25" customHeight="1" x14ac:dyDescent="0.3">
      <c r="A172" s="57">
        <v>1</v>
      </c>
      <c r="B172" s="57"/>
      <c r="C172" s="58" t="s">
        <v>83</v>
      </c>
      <c r="D172" s="59" t="s">
        <v>310</v>
      </c>
      <c r="E172" s="57" t="s">
        <v>311</v>
      </c>
      <c r="F172" s="57">
        <v>21</v>
      </c>
    </row>
    <row r="173" spans="1:6" ht="17.25" customHeight="1" x14ac:dyDescent="0.3">
      <c r="A173" s="57">
        <v>1</v>
      </c>
      <c r="B173" s="57"/>
      <c r="C173" s="58" t="s">
        <v>83</v>
      </c>
      <c r="D173" s="59" t="s">
        <v>310</v>
      </c>
      <c r="E173" s="57" t="s">
        <v>311</v>
      </c>
      <c r="F173" s="57">
        <v>86</v>
      </c>
    </row>
    <row r="174" spans="1:6" ht="17.25" customHeight="1" x14ac:dyDescent="0.3">
      <c r="A174" s="57">
        <v>1</v>
      </c>
      <c r="B174" s="57"/>
      <c r="C174" s="58" t="s">
        <v>83</v>
      </c>
      <c r="D174" s="59" t="s">
        <v>310</v>
      </c>
      <c r="E174" s="57" t="s">
        <v>311</v>
      </c>
      <c r="F174" s="57">
        <v>12</v>
      </c>
    </row>
    <row r="175" spans="1:6" ht="17.25" customHeight="1" x14ac:dyDescent="0.3">
      <c r="A175" s="57">
        <v>1</v>
      </c>
      <c r="B175" s="57"/>
      <c r="C175" s="58" t="s">
        <v>83</v>
      </c>
      <c r="D175" s="59" t="s">
        <v>310</v>
      </c>
      <c r="E175" s="57" t="s">
        <v>311</v>
      </c>
      <c r="F175" s="57">
        <v>27</v>
      </c>
    </row>
    <row r="176" spans="1:6" ht="17.25" customHeight="1" x14ac:dyDescent="0.3">
      <c r="A176" s="57">
        <v>1</v>
      </c>
      <c r="B176" s="57"/>
      <c r="C176" s="58" t="s">
        <v>83</v>
      </c>
      <c r="D176" s="59" t="s">
        <v>310</v>
      </c>
      <c r="E176" s="57" t="s">
        <v>311</v>
      </c>
      <c r="F176" s="57">
        <v>41</v>
      </c>
    </row>
    <row r="177" spans="1:6" ht="17.25" customHeight="1" x14ac:dyDescent="0.3">
      <c r="A177" s="57">
        <v>1</v>
      </c>
      <c r="B177" s="57"/>
      <c r="C177" s="58" t="s">
        <v>83</v>
      </c>
      <c r="D177" s="59" t="s">
        <v>313</v>
      </c>
      <c r="E177" s="57" t="s">
        <v>342</v>
      </c>
      <c r="F177" s="57">
        <v>32</v>
      </c>
    </row>
    <row r="178" spans="1:6" ht="17.25" customHeight="1" x14ac:dyDescent="0.3">
      <c r="A178" s="57">
        <v>1</v>
      </c>
      <c r="B178" s="57"/>
      <c r="C178" s="58" t="s">
        <v>83</v>
      </c>
      <c r="D178" s="59" t="s">
        <v>313</v>
      </c>
      <c r="E178" s="57" t="s">
        <v>342</v>
      </c>
      <c r="F178" s="57">
        <v>67</v>
      </c>
    </row>
    <row r="179" spans="1:6" ht="17.25" customHeight="1" x14ac:dyDescent="0.3">
      <c r="A179" s="57">
        <v>1</v>
      </c>
      <c r="B179" s="57"/>
      <c r="C179" s="58" t="s">
        <v>83</v>
      </c>
      <c r="D179" s="59" t="s">
        <v>313</v>
      </c>
      <c r="E179" s="57" t="s">
        <v>342</v>
      </c>
      <c r="F179" s="57">
        <v>28</v>
      </c>
    </row>
    <row r="180" spans="1:6" ht="17.25" customHeight="1" x14ac:dyDescent="0.3">
      <c r="A180" s="57">
        <v>1</v>
      </c>
      <c r="B180" s="57"/>
      <c r="C180" s="58" t="s">
        <v>83</v>
      </c>
      <c r="D180" s="59" t="s">
        <v>313</v>
      </c>
      <c r="E180" s="57" t="s">
        <v>342</v>
      </c>
      <c r="F180" s="57">
        <v>92</v>
      </c>
    </row>
    <row r="181" spans="1:6" ht="17.25" customHeight="1" x14ac:dyDescent="0.3">
      <c r="A181" s="57">
        <v>1</v>
      </c>
      <c r="B181" s="57"/>
      <c r="C181" s="58" t="s">
        <v>83</v>
      </c>
      <c r="D181" s="59" t="s">
        <v>313</v>
      </c>
      <c r="E181" s="57" t="s">
        <v>342</v>
      </c>
      <c r="F181" s="57">
        <v>43</v>
      </c>
    </row>
    <row r="182" spans="1:6" ht="17.25" customHeight="1" x14ac:dyDescent="0.3">
      <c r="A182" s="57">
        <v>1</v>
      </c>
      <c r="B182" s="57"/>
      <c r="C182" s="58" t="s">
        <v>83</v>
      </c>
      <c r="D182" s="59" t="s">
        <v>313</v>
      </c>
      <c r="E182" s="57" t="s">
        <v>342</v>
      </c>
      <c r="F182" s="57">
        <v>42</v>
      </c>
    </row>
    <row r="183" spans="1:6" ht="17.25" customHeight="1" x14ac:dyDescent="0.3">
      <c r="A183" s="57">
        <v>1</v>
      </c>
      <c r="B183" s="57"/>
      <c r="C183" s="58" t="s">
        <v>83</v>
      </c>
      <c r="D183" s="59" t="s">
        <v>315</v>
      </c>
      <c r="E183" s="57" t="s">
        <v>316</v>
      </c>
      <c r="F183" s="57">
        <v>50</v>
      </c>
    </row>
    <row r="184" spans="1:6" ht="17.25" customHeight="1" x14ac:dyDescent="0.3">
      <c r="A184" s="57">
        <v>1</v>
      </c>
      <c r="B184" s="57"/>
      <c r="C184" s="58" t="s">
        <v>83</v>
      </c>
      <c r="D184" s="59" t="s">
        <v>75</v>
      </c>
      <c r="E184" s="57" t="s">
        <v>76</v>
      </c>
      <c r="F184" s="57">
        <v>20</v>
      </c>
    </row>
    <row r="185" spans="1:6" ht="17.25" customHeight="1" x14ac:dyDescent="0.3">
      <c r="A185" s="57">
        <v>1</v>
      </c>
      <c r="B185" s="57"/>
      <c r="C185" s="58" t="s">
        <v>322</v>
      </c>
      <c r="D185" s="59" t="s">
        <v>323</v>
      </c>
      <c r="E185" s="57" t="s">
        <v>324</v>
      </c>
      <c r="F185" s="57">
        <v>39</v>
      </c>
    </row>
    <row r="186" spans="1:6" ht="17.25" customHeight="1" x14ac:dyDescent="0.3">
      <c r="A186" s="57">
        <v>1</v>
      </c>
      <c r="B186" s="57"/>
      <c r="C186" s="58" t="s">
        <v>327</v>
      </c>
      <c r="D186" s="59" t="s">
        <v>329</v>
      </c>
      <c r="E186" s="57" t="s">
        <v>330</v>
      </c>
      <c r="F186" s="57">
        <v>33</v>
      </c>
    </row>
    <row r="187" spans="1:6" ht="17.25" customHeight="1" x14ac:dyDescent="0.3">
      <c r="A187" s="57">
        <v>1</v>
      </c>
      <c r="B187" s="57"/>
      <c r="C187" s="58" t="s">
        <v>327</v>
      </c>
      <c r="D187" s="59" t="s">
        <v>331</v>
      </c>
      <c r="E187" s="57" t="s">
        <v>332</v>
      </c>
      <c r="F187" s="57">
        <v>75</v>
      </c>
    </row>
    <row r="188" spans="1:6" ht="17.25" customHeight="1" x14ac:dyDescent="0.3">
      <c r="A188" s="57">
        <v>1</v>
      </c>
      <c r="B188" s="57"/>
      <c r="C188" s="58" t="s">
        <v>327</v>
      </c>
      <c r="D188" s="59" t="s">
        <v>331</v>
      </c>
      <c r="E188" s="57" t="s">
        <v>332</v>
      </c>
      <c r="F188" s="57">
        <v>55</v>
      </c>
    </row>
    <row r="189" spans="1:6" ht="17.25" customHeight="1" x14ac:dyDescent="0.3">
      <c r="A189" s="57">
        <v>1</v>
      </c>
      <c r="B189" s="57"/>
      <c r="C189" s="58" t="s">
        <v>327</v>
      </c>
      <c r="D189" s="59" t="s">
        <v>331</v>
      </c>
      <c r="E189" s="57" t="s">
        <v>332</v>
      </c>
      <c r="F189" s="57">
        <v>56</v>
      </c>
    </row>
    <row r="190" spans="1:6" ht="17.25" customHeight="1" x14ac:dyDescent="0.3">
      <c r="A190" s="57">
        <v>1</v>
      </c>
      <c r="B190" s="57"/>
      <c r="C190" s="58" t="s">
        <v>327</v>
      </c>
      <c r="D190" s="59" t="s">
        <v>331</v>
      </c>
      <c r="E190" s="57" t="s">
        <v>332</v>
      </c>
      <c r="F190" s="57">
        <v>86</v>
      </c>
    </row>
    <row r="191" spans="1:6" ht="17.25" customHeight="1" x14ac:dyDescent="0.3">
      <c r="A191" s="57">
        <v>1</v>
      </c>
      <c r="B191" s="57"/>
      <c r="C191" s="58" t="s">
        <v>327</v>
      </c>
      <c r="D191" s="59" t="s">
        <v>331</v>
      </c>
      <c r="E191" s="57" t="s">
        <v>332</v>
      </c>
      <c r="F191" s="57">
        <v>44</v>
      </c>
    </row>
    <row r="192" spans="1:6" ht="17.25" customHeight="1" x14ac:dyDescent="0.3">
      <c r="A192" s="57">
        <v>1</v>
      </c>
      <c r="B192" s="57"/>
      <c r="C192" s="58" t="s">
        <v>327</v>
      </c>
      <c r="D192" s="59" t="s">
        <v>331</v>
      </c>
      <c r="E192" s="57" t="s">
        <v>332</v>
      </c>
      <c r="F192" s="57">
        <v>67</v>
      </c>
    </row>
    <row r="193" spans="1:6" ht="17.25" customHeight="1" x14ac:dyDescent="0.3">
      <c r="A193" s="57">
        <v>1</v>
      </c>
      <c r="B193" s="57"/>
      <c r="C193" s="58" t="s">
        <v>327</v>
      </c>
      <c r="D193" s="59" t="s">
        <v>331</v>
      </c>
      <c r="E193" s="57" t="s">
        <v>332</v>
      </c>
      <c r="F193" s="57">
        <v>87</v>
      </c>
    </row>
    <row r="194" spans="1:6" ht="17.25" customHeight="1" x14ac:dyDescent="0.3">
      <c r="A194" s="57">
        <v>1</v>
      </c>
      <c r="B194" s="57"/>
      <c r="C194" s="58" t="s">
        <v>327</v>
      </c>
      <c r="D194" s="59" t="s">
        <v>331</v>
      </c>
      <c r="E194" s="57" t="s">
        <v>332</v>
      </c>
      <c r="F194" s="57">
        <v>92</v>
      </c>
    </row>
    <row r="195" spans="1:6" ht="17.25" customHeight="1" x14ac:dyDescent="0.3">
      <c r="A195" s="57">
        <v>1</v>
      </c>
      <c r="B195" s="57"/>
      <c r="C195" s="58" t="s">
        <v>327</v>
      </c>
      <c r="D195" s="59" t="s">
        <v>331</v>
      </c>
      <c r="E195" s="57" t="s">
        <v>332</v>
      </c>
      <c r="F195" s="57">
        <v>43</v>
      </c>
    </row>
    <row r="196" spans="1:6" ht="17.25" customHeight="1" x14ac:dyDescent="0.3">
      <c r="A196" s="57">
        <v>1</v>
      </c>
      <c r="B196" s="57"/>
      <c r="C196" s="58" t="s">
        <v>327</v>
      </c>
      <c r="D196" s="59" t="s">
        <v>331</v>
      </c>
      <c r="E196" s="57" t="s">
        <v>332</v>
      </c>
      <c r="F196" s="57">
        <v>71</v>
      </c>
    </row>
    <row r="197" spans="1:6" ht="17.25" customHeight="1" x14ac:dyDescent="0.3">
      <c r="A197" s="57">
        <v>1</v>
      </c>
      <c r="B197" s="57"/>
      <c r="C197" s="58" t="s">
        <v>327</v>
      </c>
      <c r="D197" s="59" t="s">
        <v>331</v>
      </c>
      <c r="E197" s="57" t="s">
        <v>332</v>
      </c>
      <c r="F197" s="57">
        <v>47</v>
      </c>
    </row>
    <row r="198" spans="1:6" ht="17.25" customHeight="1" x14ac:dyDescent="0.3">
      <c r="A198" s="57">
        <v>1</v>
      </c>
      <c r="B198" s="57"/>
      <c r="C198" s="58" t="s">
        <v>28</v>
      </c>
      <c r="D198" s="59" t="s">
        <v>29</v>
      </c>
      <c r="E198" s="57"/>
      <c r="F198" s="57">
        <v>67</v>
      </c>
    </row>
    <row r="199" spans="1:6" ht="17.25" customHeight="1" x14ac:dyDescent="0.3">
      <c r="A199" s="57">
        <v>1</v>
      </c>
      <c r="B199" s="57"/>
      <c r="C199" s="58" t="s">
        <v>28</v>
      </c>
      <c r="D199" s="59" t="s">
        <v>29</v>
      </c>
      <c r="E199" s="57"/>
      <c r="F199" s="57">
        <v>27</v>
      </c>
    </row>
    <row r="200" spans="1:6" ht="17.25" customHeight="1" x14ac:dyDescent="0.3">
      <c r="A200" s="57">
        <v>1</v>
      </c>
      <c r="B200" s="57"/>
      <c r="C200" s="58" t="s">
        <v>28</v>
      </c>
      <c r="D200" s="59" t="s">
        <v>29</v>
      </c>
      <c r="E200" s="57"/>
      <c r="F200" s="57">
        <v>25</v>
      </c>
    </row>
    <row r="201" spans="1:6" ht="17.25" customHeight="1" x14ac:dyDescent="0.3">
      <c r="A201" s="57">
        <v>1</v>
      </c>
      <c r="B201" s="57"/>
      <c r="C201" s="58" t="s">
        <v>28</v>
      </c>
      <c r="D201" s="59" t="s">
        <v>29</v>
      </c>
      <c r="E201" s="57"/>
      <c r="F201" s="57">
        <v>73</v>
      </c>
    </row>
    <row r="202" spans="1:6" ht="17.25" customHeight="1" x14ac:dyDescent="0.3">
      <c r="A202" s="57">
        <v>1</v>
      </c>
      <c r="B202" s="57"/>
      <c r="C202" s="58" t="s">
        <v>28</v>
      </c>
      <c r="D202" s="59" t="s">
        <v>29</v>
      </c>
      <c r="E202" s="57"/>
      <c r="F202" s="57">
        <v>65</v>
      </c>
    </row>
    <row r="203" spans="1:6" ht="17.25" customHeight="1" x14ac:dyDescent="0.3">
      <c r="A203" s="57">
        <v>1</v>
      </c>
      <c r="B203" s="57"/>
      <c r="C203" s="58" t="s">
        <v>28</v>
      </c>
      <c r="D203" s="59" t="s">
        <v>29</v>
      </c>
      <c r="E203" s="57"/>
      <c r="F203" s="57">
        <v>43</v>
      </c>
    </row>
    <row r="204" spans="1:6" ht="17.25" customHeight="1" x14ac:dyDescent="0.3">
      <c r="A204" s="57">
        <v>1</v>
      </c>
      <c r="B204" s="57"/>
      <c r="C204" s="58" t="s">
        <v>28</v>
      </c>
      <c r="D204" s="59" t="s">
        <v>29</v>
      </c>
      <c r="E204" s="57"/>
      <c r="F204" s="57">
        <v>74</v>
      </c>
    </row>
    <row r="205" spans="1:6" ht="17.25" customHeight="1" x14ac:dyDescent="0.3">
      <c r="A205" s="57">
        <v>1</v>
      </c>
      <c r="B205" s="57"/>
      <c r="C205" s="58" t="s">
        <v>28</v>
      </c>
      <c r="D205" s="59" t="s">
        <v>29</v>
      </c>
      <c r="E205" s="57"/>
      <c r="F205" s="57">
        <v>20</v>
      </c>
    </row>
    <row r="206" spans="1:6" ht="17.25" customHeight="1" x14ac:dyDescent="0.3">
      <c r="A206" s="57">
        <v>1</v>
      </c>
      <c r="B206" s="57"/>
      <c r="C206" s="58" t="s">
        <v>28</v>
      </c>
      <c r="D206" s="59" t="s">
        <v>29</v>
      </c>
      <c r="E206" s="57"/>
      <c r="F206" s="57">
        <v>10</v>
      </c>
    </row>
    <row r="207" spans="1:6" ht="17.25" customHeight="1" x14ac:dyDescent="0.3">
      <c r="A207" s="57">
        <v>1</v>
      </c>
      <c r="B207" s="57"/>
      <c r="C207" s="58" t="s">
        <v>28</v>
      </c>
      <c r="D207" s="59" t="s">
        <v>29</v>
      </c>
      <c r="E207" s="57"/>
      <c r="F207" s="57">
        <v>21</v>
      </c>
    </row>
    <row r="208" spans="1:6" ht="17.25" customHeight="1" x14ac:dyDescent="0.3">
      <c r="A208" s="57">
        <v>1</v>
      </c>
      <c r="B208" s="57"/>
      <c r="C208" s="58" t="s">
        <v>28</v>
      </c>
      <c r="D208" s="59" t="s">
        <v>29</v>
      </c>
      <c r="E208" s="57"/>
      <c r="F208" s="57">
        <v>56</v>
      </c>
    </row>
    <row r="209" spans="1:6" ht="17.25" customHeight="1" x14ac:dyDescent="0.3">
      <c r="A209" s="57">
        <v>1</v>
      </c>
      <c r="B209" s="57"/>
      <c r="C209" s="58" t="s">
        <v>28</v>
      </c>
      <c r="D209" s="59" t="s">
        <v>29</v>
      </c>
      <c r="E209" s="57"/>
      <c r="F209" s="57">
        <v>19</v>
      </c>
    </row>
    <row r="210" spans="1:6" ht="17.25" customHeight="1" x14ac:dyDescent="0.3">
      <c r="A210" s="57">
        <v>1</v>
      </c>
      <c r="B210" s="57"/>
      <c r="C210" s="58" t="s">
        <v>28</v>
      </c>
      <c r="D210" s="59" t="s">
        <v>29</v>
      </c>
      <c r="E210" s="57"/>
      <c r="F210" s="57">
        <v>27</v>
      </c>
    </row>
    <row r="211" spans="1:6" ht="17.25" customHeight="1" x14ac:dyDescent="0.3">
      <c r="A211" s="57">
        <v>1</v>
      </c>
      <c r="B211" s="57"/>
      <c r="C211" s="58" t="s">
        <v>28</v>
      </c>
      <c r="D211" s="59" t="s">
        <v>29</v>
      </c>
      <c r="E211" s="57"/>
      <c r="F211" s="57">
        <v>40</v>
      </c>
    </row>
    <row r="212" spans="1:6" ht="17.25" customHeight="1" x14ac:dyDescent="0.3">
      <c r="A212" s="57">
        <v>1</v>
      </c>
      <c r="B212" s="57"/>
      <c r="C212" s="58" t="s">
        <v>28</v>
      </c>
      <c r="D212" s="59" t="s">
        <v>29</v>
      </c>
      <c r="E212" s="57"/>
      <c r="F212" s="57">
        <v>15</v>
      </c>
    </row>
    <row r="213" spans="1:6" ht="17.25" customHeight="1" x14ac:dyDescent="0.3">
      <c r="A213" s="57">
        <v>1</v>
      </c>
      <c r="B213" s="57"/>
      <c r="C213" s="58" t="s">
        <v>28</v>
      </c>
      <c r="D213" s="59" t="s">
        <v>29</v>
      </c>
      <c r="E213" s="57"/>
      <c r="F213" s="57">
        <v>10</v>
      </c>
    </row>
    <row r="214" spans="1:6" ht="17.25" customHeight="1" x14ac:dyDescent="0.3">
      <c r="A214" s="57">
        <v>1</v>
      </c>
      <c r="B214" s="57"/>
      <c r="C214" s="58" t="s">
        <v>28</v>
      </c>
      <c r="D214" s="59" t="s">
        <v>337</v>
      </c>
      <c r="E214" s="57"/>
      <c r="F214" s="57">
        <v>133</v>
      </c>
    </row>
    <row r="215" spans="1:6" ht="17.25" customHeight="1" x14ac:dyDescent="0.3">
      <c r="A215" s="57">
        <v>1</v>
      </c>
      <c r="B215" s="57"/>
      <c r="C215" s="58" t="s">
        <v>28</v>
      </c>
      <c r="D215" s="59" t="s">
        <v>337</v>
      </c>
      <c r="E215" s="57"/>
      <c r="F215" s="57">
        <v>10</v>
      </c>
    </row>
    <row r="216" spans="1:6" ht="17.25" customHeight="1" x14ac:dyDescent="0.3">
      <c r="A216" s="57">
        <v>1</v>
      </c>
      <c r="B216" s="57"/>
      <c r="C216" s="58" t="s">
        <v>28</v>
      </c>
      <c r="D216" s="59" t="s">
        <v>337</v>
      </c>
      <c r="E216" s="57"/>
      <c r="F216" s="57">
        <v>12</v>
      </c>
    </row>
    <row r="217" spans="1:6" ht="17.25" customHeight="1" x14ac:dyDescent="0.3">
      <c r="A217" s="57">
        <v>1</v>
      </c>
      <c r="B217" s="57"/>
      <c r="C217" s="58" t="s">
        <v>28</v>
      </c>
      <c r="D217" s="59" t="s">
        <v>337</v>
      </c>
      <c r="E217" s="57"/>
      <c r="F217" s="57">
        <v>21</v>
      </c>
    </row>
    <row r="218" spans="1:6" ht="17.25" customHeight="1" x14ac:dyDescent="0.3">
      <c r="A218" s="57">
        <v>1</v>
      </c>
      <c r="B218" s="57"/>
      <c r="C218" s="58" t="s">
        <v>28</v>
      </c>
      <c r="D218" s="59" t="s">
        <v>337</v>
      </c>
      <c r="E218" s="57"/>
      <c r="F218" s="57">
        <v>12</v>
      </c>
    </row>
    <row r="219" spans="1:6" ht="17.25" customHeight="1" x14ac:dyDescent="0.3">
      <c r="A219" s="57">
        <v>1</v>
      </c>
      <c r="B219" s="57"/>
      <c r="C219" s="58" t="s">
        <v>28</v>
      </c>
      <c r="D219" s="59" t="s">
        <v>337</v>
      </c>
      <c r="E219" s="57"/>
      <c r="F219" s="57">
        <v>18</v>
      </c>
    </row>
    <row r="220" spans="1:6" ht="17.25" customHeight="1" x14ac:dyDescent="0.3">
      <c r="A220" s="57">
        <v>1</v>
      </c>
      <c r="B220" s="57"/>
      <c r="C220" s="58" t="s">
        <v>28</v>
      </c>
      <c r="D220" s="59" t="s">
        <v>337</v>
      </c>
      <c r="E220" s="57"/>
      <c r="F220" s="57">
        <v>13</v>
      </c>
    </row>
    <row r="221" spans="1:6" ht="17.25" customHeight="1" x14ac:dyDescent="0.3">
      <c r="A221" s="57">
        <v>1</v>
      </c>
      <c r="B221" s="57"/>
      <c r="C221" s="58" t="s">
        <v>28</v>
      </c>
      <c r="D221" s="59" t="s">
        <v>337</v>
      </c>
      <c r="E221" s="57"/>
      <c r="F221" s="57">
        <v>19</v>
      </c>
    </row>
    <row r="222" spans="1:6" ht="17.25" customHeight="1" x14ac:dyDescent="0.3">
      <c r="A222">
        <v>5</v>
      </c>
      <c r="D222" t="s">
        <v>34</v>
      </c>
      <c r="E222" t="s">
        <v>35</v>
      </c>
      <c r="F222">
        <v>21</v>
      </c>
    </row>
    <row r="223" spans="1:6" ht="17.25" customHeight="1" x14ac:dyDescent="0.3">
      <c r="A223">
        <v>5</v>
      </c>
      <c r="D223" t="s">
        <v>34</v>
      </c>
      <c r="E223" t="s">
        <v>35</v>
      </c>
      <c r="F223">
        <v>30</v>
      </c>
    </row>
    <row r="224" spans="1:6" ht="17.25" customHeight="1" x14ac:dyDescent="0.3">
      <c r="A224">
        <v>5</v>
      </c>
      <c r="D224" t="s">
        <v>73</v>
      </c>
      <c r="E224" t="s">
        <v>304</v>
      </c>
      <c r="F224">
        <v>24</v>
      </c>
    </row>
    <row r="225" spans="1:6" ht="17.25" customHeight="1" x14ac:dyDescent="0.3">
      <c r="A225">
        <v>5</v>
      </c>
      <c r="D225" t="s">
        <v>73</v>
      </c>
      <c r="E225" t="s">
        <v>304</v>
      </c>
      <c r="F225">
        <v>21</v>
      </c>
    </row>
    <row r="226" spans="1:6" ht="17.25" customHeight="1" x14ac:dyDescent="0.3">
      <c r="A226">
        <v>5</v>
      </c>
      <c r="D226" t="s">
        <v>73</v>
      </c>
      <c r="E226" t="s">
        <v>304</v>
      </c>
      <c r="F226">
        <v>25</v>
      </c>
    </row>
    <row r="227" spans="1:6" ht="17.25" customHeight="1" x14ac:dyDescent="0.3">
      <c r="A227">
        <v>5</v>
      </c>
      <c r="D227" t="s">
        <v>73</v>
      </c>
      <c r="E227" t="s">
        <v>304</v>
      </c>
      <c r="F227">
        <v>30</v>
      </c>
    </row>
    <row r="228" spans="1:6" ht="17.25" customHeight="1" x14ac:dyDescent="0.3">
      <c r="A228">
        <v>5</v>
      </c>
      <c r="D228" t="s">
        <v>308</v>
      </c>
      <c r="E228" t="s">
        <v>309</v>
      </c>
      <c r="F228">
        <v>90</v>
      </c>
    </row>
    <row r="229" spans="1:6" ht="17.25" customHeight="1" x14ac:dyDescent="0.3">
      <c r="A229">
        <v>5</v>
      </c>
      <c r="D229" t="s">
        <v>310</v>
      </c>
      <c r="E229" t="s">
        <v>311</v>
      </c>
      <c r="F229">
        <v>35</v>
      </c>
    </row>
    <row r="230" spans="1:6" ht="17.25" customHeight="1" x14ac:dyDescent="0.3">
      <c r="A230">
        <v>5</v>
      </c>
      <c r="D230" t="s">
        <v>310</v>
      </c>
      <c r="E230" t="s">
        <v>311</v>
      </c>
      <c r="F230">
        <v>27</v>
      </c>
    </row>
    <row r="231" spans="1:6" ht="17.25" customHeight="1" x14ac:dyDescent="0.3">
      <c r="A231">
        <v>5</v>
      </c>
      <c r="D231" t="s">
        <v>310</v>
      </c>
      <c r="E231" t="s">
        <v>311</v>
      </c>
      <c r="F231">
        <v>25</v>
      </c>
    </row>
    <row r="232" spans="1:6" ht="17.25" customHeight="1" x14ac:dyDescent="0.3">
      <c r="A232">
        <v>5</v>
      </c>
      <c r="D232" t="s">
        <v>313</v>
      </c>
      <c r="E232" t="s">
        <v>314</v>
      </c>
      <c r="F232">
        <v>48</v>
      </c>
    </row>
    <row r="233" spans="1:6" ht="17.25" customHeight="1" x14ac:dyDescent="0.3">
      <c r="A233">
        <v>5</v>
      </c>
      <c r="D233" t="s">
        <v>313</v>
      </c>
      <c r="E233" t="s">
        <v>314</v>
      </c>
      <c r="F233">
        <v>51</v>
      </c>
    </row>
    <row r="234" spans="1:6" ht="17.25" customHeight="1" x14ac:dyDescent="0.3">
      <c r="A234">
        <v>5</v>
      </c>
      <c r="D234" t="s">
        <v>313</v>
      </c>
      <c r="E234" t="s">
        <v>314</v>
      </c>
      <c r="F234">
        <v>31</v>
      </c>
    </row>
    <row r="235" spans="1:6" ht="17.25" customHeight="1" x14ac:dyDescent="0.3">
      <c r="A235">
        <v>5</v>
      </c>
      <c r="D235" t="s">
        <v>313</v>
      </c>
      <c r="E235" t="s">
        <v>314</v>
      </c>
      <c r="F235">
        <v>43</v>
      </c>
    </row>
    <row r="236" spans="1:6" ht="17.25" customHeight="1" x14ac:dyDescent="0.3">
      <c r="A236">
        <v>5</v>
      </c>
      <c r="D236" t="s">
        <v>313</v>
      </c>
      <c r="E236" t="s">
        <v>314</v>
      </c>
      <c r="F236">
        <v>34</v>
      </c>
    </row>
    <row r="237" spans="1:6" ht="17.25" customHeight="1" x14ac:dyDescent="0.3">
      <c r="A237">
        <v>5</v>
      </c>
      <c r="D237" t="s">
        <v>313</v>
      </c>
      <c r="E237" t="s">
        <v>314</v>
      </c>
      <c r="F237">
        <v>100</v>
      </c>
    </row>
    <row r="238" spans="1:6" ht="17.25" customHeight="1" x14ac:dyDescent="0.3">
      <c r="A238">
        <v>5</v>
      </c>
      <c r="D238" t="s">
        <v>313</v>
      </c>
      <c r="E238" t="s">
        <v>314</v>
      </c>
      <c r="F238">
        <v>35</v>
      </c>
    </row>
    <row r="239" spans="1:6" ht="17.25" customHeight="1" x14ac:dyDescent="0.3">
      <c r="A239">
        <v>5</v>
      </c>
      <c r="D239" t="s">
        <v>313</v>
      </c>
      <c r="E239" t="s">
        <v>314</v>
      </c>
      <c r="F239">
        <v>42</v>
      </c>
    </row>
    <row r="240" spans="1:6" ht="17.25" customHeight="1" x14ac:dyDescent="0.3">
      <c r="A240">
        <v>5</v>
      </c>
      <c r="D240" t="s">
        <v>313</v>
      </c>
      <c r="E240" t="s">
        <v>314</v>
      </c>
      <c r="F240">
        <v>49</v>
      </c>
    </row>
    <row r="241" spans="1:6" ht="17.25" customHeight="1" x14ac:dyDescent="0.3">
      <c r="A241">
        <v>5</v>
      </c>
      <c r="D241" t="s">
        <v>317</v>
      </c>
      <c r="E241" t="s">
        <v>318</v>
      </c>
      <c r="F241">
        <v>45</v>
      </c>
    </row>
    <row r="242" spans="1:6" ht="17.25" customHeight="1" x14ac:dyDescent="0.3">
      <c r="A242">
        <v>5</v>
      </c>
      <c r="D242" t="s">
        <v>320</v>
      </c>
      <c r="E242" t="s">
        <v>321</v>
      </c>
      <c r="F242">
        <v>101</v>
      </c>
    </row>
    <row r="243" spans="1:6" ht="17.25" customHeight="1" x14ac:dyDescent="0.3">
      <c r="A243">
        <v>5</v>
      </c>
      <c r="D243" t="s">
        <v>325</v>
      </c>
      <c r="E243" t="s">
        <v>326</v>
      </c>
      <c r="F243">
        <v>56</v>
      </c>
    </row>
    <row r="244" spans="1:6" ht="17.25" customHeight="1" x14ac:dyDescent="0.3">
      <c r="A244">
        <v>5</v>
      </c>
      <c r="D244" t="s">
        <v>329</v>
      </c>
      <c r="E244" t="s">
        <v>330</v>
      </c>
      <c r="F244">
        <v>75</v>
      </c>
    </row>
    <row r="245" spans="1:6" ht="17.25" customHeight="1" x14ac:dyDescent="0.3">
      <c r="A245">
        <v>5</v>
      </c>
      <c r="D245" t="s">
        <v>331</v>
      </c>
      <c r="E245" t="s">
        <v>332</v>
      </c>
      <c r="F245">
        <v>52</v>
      </c>
    </row>
    <row r="246" spans="1:6" ht="17.25" customHeight="1" x14ac:dyDescent="0.3">
      <c r="A246">
        <v>5</v>
      </c>
      <c r="D246" t="s">
        <v>331</v>
      </c>
      <c r="E246" t="s">
        <v>332</v>
      </c>
      <c r="F246">
        <v>86</v>
      </c>
    </row>
    <row r="247" spans="1:6" ht="17.25" customHeight="1" x14ac:dyDescent="0.3">
      <c r="A247">
        <v>5</v>
      </c>
      <c r="D247" t="s">
        <v>331</v>
      </c>
      <c r="E247" t="s">
        <v>332</v>
      </c>
      <c r="F247">
        <v>65</v>
      </c>
    </row>
    <row r="248" spans="1:6" ht="17.25" customHeight="1" x14ac:dyDescent="0.3">
      <c r="A248">
        <v>5</v>
      </c>
      <c r="D248" t="s">
        <v>331</v>
      </c>
      <c r="E248" t="s">
        <v>332</v>
      </c>
      <c r="F248">
        <v>56</v>
      </c>
    </row>
    <row r="249" spans="1:6" ht="17.25" customHeight="1" x14ac:dyDescent="0.3">
      <c r="A249">
        <v>5</v>
      </c>
      <c r="D249" t="s">
        <v>331</v>
      </c>
      <c r="E249" t="s">
        <v>332</v>
      </c>
      <c r="F249">
        <v>87</v>
      </c>
    </row>
    <row r="250" spans="1:6" ht="17.25" customHeight="1" x14ac:dyDescent="0.3">
      <c r="A250">
        <v>5</v>
      </c>
      <c r="D250" t="s">
        <v>331</v>
      </c>
      <c r="E250" t="s">
        <v>332</v>
      </c>
      <c r="F250">
        <v>69</v>
      </c>
    </row>
    <row r="251" spans="1:6" ht="17.25" customHeight="1" x14ac:dyDescent="0.3">
      <c r="A251">
        <v>5</v>
      </c>
      <c r="D251" t="s">
        <v>331</v>
      </c>
      <c r="E251" t="s">
        <v>332</v>
      </c>
      <c r="F251">
        <v>90</v>
      </c>
    </row>
    <row r="252" spans="1:6" ht="17.25" customHeight="1" x14ac:dyDescent="0.3">
      <c r="A252">
        <v>5</v>
      </c>
      <c r="D252" t="s">
        <v>331</v>
      </c>
      <c r="E252" t="s">
        <v>332</v>
      </c>
      <c r="F252">
        <v>43</v>
      </c>
    </row>
    <row r="253" spans="1:6" ht="17.25" customHeight="1" x14ac:dyDescent="0.3">
      <c r="A253">
        <v>5</v>
      </c>
      <c r="D253" t="s">
        <v>333</v>
      </c>
      <c r="E253" t="s">
        <v>334</v>
      </c>
      <c r="F253">
        <v>31</v>
      </c>
    </row>
    <row r="254" spans="1:6" ht="17.25" customHeight="1" x14ac:dyDescent="0.3">
      <c r="A254">
        <v>5</v>
      </c>
      <c r="D254" t="s">
        <v>29</v>
      </c>
      <c r="F254">
        <v>61</v>
      </c>
    </row>
    <row r="255" spans="1:6" ht="17.25" customHeight="1" x14ac:dyDescent="0.3">
      <c r="A255">
        <v>5</v>
      </c>
      <c r="D255" t="s">
        <v>29</v>
      </c>
      <c r="F255">
        <v>56</v>
      </c>
    </row>
    <row r="256" spans="1:6" ht="17.25" customHeight="1" x14ac:dyDescent="0.3">
      <c r="A256">
        <v>5</v>
      </c>
      <c r="D256" t="s">
        <v>29</v>
      </c>
      <c r="F256">
        <v>51</v>
      </c>
    </row>
    <row r="257" spans="1:6" ht="17.25" customHeight="1" x14ac:dyDescent="0.3">
      <c r="A257">
        <v>5</v>
      </c>
      <c r="D257" t="s">
        <v>29</v>
      </c>
      <c r="F257">
        <v>41</v>
      </c>
    </row>
    <row r="258" spans="1:6" ht="17.25" customHeight="1" x14ac:dyDescent="0.3">
      <c r="A258">
        <v>5</v>
      </c>
      <c r="D258" t="s">
        <v>29</v>
      </c>
      <c r="F258">
        <v>56</v>
      </c>
    </row>
    <row r="259" spans="1:6" ht="17.25" customHeight="1" x14ac:dyDescent="0.3">
      <c r="A259">
        <v>5</v>
      </c>
      <c r="D259" t="s">
        <v>29</v>
      </c>
      <c r="F259">
        <v>25</v>
      </c>
    </row>
    <row r="260" spans="1:6" ht="17.25" customHeight="1" x14ac:dyDescent="0.3">
      <c r="A260">
        <v>5</v>
      </c>
      <c r="D260" t="s">
        <v>335</v>
      </c>
      <c r="F260">
        <v>41</v>
      </c>
    </row>
    <row r="261" spans="1:6" ht="17.25" customHeight="1" x14ac:dyDescent="0.3">
      <c r="A261">
        <v>5</v>
      </c>
      <c r="D261" t="s">
        <v>335</v>
      </c>
      <c r="F261">
        <v>56</v>
      </c>
    </row>
    <row r="262" spans="1:6" ht="17.25" customHeight="1" x14ac:dyDescent="0.3">
      <c r="A262">
        <v>5</v>
      </c>
      <c r="D262" t="s">
        <v>335</v>
      </c>
      <c r="F262">
        <v>21</v>
      </c>
    </row>
    <row r="263" spans="1:6" ht="17.25" customHeight="1" x14ac:dyDescent="0.3">
      <c r="A263">
        <v>5</v>
      </c>
      <c r="D263" t="s">
        <v>335</v>
      </c>
      <c r="F263">
        <v>53</v>
      </c>
    </row>
    <row r="264" spans="1:6" ht="17.25" customHeight="1" x14ac:dyDescent="0.3">
      <c r="A264">
        <v>5</v>
      </c>
      <c r="D264" t="s">
        <v>335</v>
      </c>
      <c r="F264">
        <v>45</v>
      </c>
    </row>
    <row r="265" spans="1:6" ht="17.25" customHeight="1" x14ac:dyDescent="0.3">
      <c r="A265">
        <v>5</v>
      </c>
      <c r="D265" t="s">
        <v>335</v>
      </c>
      <c r="F265">
        <v>22</v>
      </c>
    </row>
    <row r="266" spans="1:6" ht="17.25" customHeight="1" x14ac:dyDescent="0.3">
      <c r="A266">
        <v>5</v>
      </c>
      <c r="D266" t="s">
        <v>337</v>
      </c>
      <c r="F266">
        <v>38</v>
      </c>
    </row>
    <row r="267" spans="1:6" ht="17.25" customHeight="1" x14ac:dyDescent="0.3">
      <c r="A267">
        <v>5</v>
      </c>
      <c r="D267" t="s">
        <v>337</v>
      </c>
      <c r="F267">
        <v>21</v>
      </c>
    </row>
    <row r="268" spans="1:6" ht="17.25" customHeight="1" x14ac:dyDescent="0.3">
      <c r="A268">
        <v>5</v>
      </c>
      <c r="D268" t="s">
        <v>337</v>
      </c>
      <c r="F268">
        <v>36</v>
      </c>
    </row>
    <row r="269" spans="1:6" ht="17.25" customHeight="1" x14ac:dyDescent="0.3">
      <c r="A269">
        <v>5</v>
      </c>
      <c r="D269" t="s">
        <v>337</v>
      </c>
      <c r="F269">
        <v>25</v>
      </c>
    </row>
    <row r="270" spans="1:6" ht="17.25" customHeight="1" x14ac:dyDescent="0.3">
      <c r="A270">
        <v>5</v>
      </c>
      <c r="D270" t="s">
        <v>337</v>
      </c>
      <c r="F270">
        <v>54</v>
      </c>
    </row>
    <row r="271" spans="1:6" ht="17.25" customHeight="1" x14ac:dyDescent="0.3">
      <c r="A271">
        <v>5</v>
      </c>
      <c r="D271" t="s">
        <v>337</v>
      </c>
      <c r="F271">
        <v>57</v>
      </c>
    </row>
    <row r="272" spans="1:6" ht="17.25" customHeight="1" x14ac:dyDescent="0.3">
      <c r="A272">
        <v>5</v>
      </c>
      <c r="D272" t="s">
        <v>337</v>
      </c>
      <c r="F27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5C91-1A55-43A6-823B-D26BFDDDDA0D}">
  <sheetPr>
    <tabColor theme="7"/>
  </sheetPr>
  <dimension ref="A1:H99"/>
  <sheetViews>
    <sheetView topLeftCell="A73" zoomScale="90" zoomScaleNormal="90" workbookViewId="0">
      <selection activeCell="H99" sqref="A1:H99"/>
    </sheetView>
  </sheetViews>
  <sheetFormatPr defaultColWidth="5" defaultRowHeight="13.2" x14ac:dyDescent="0.25"/>
  <cols>
    <col min="1" max="1" width="36.5546875" style="6" customWidth="1"/>
    <col min="2" max="2" width="41.33203125" style="6" customWidth="1"/>
    <col min="3" max="3" width="7.5546875" style="6" customWidth="1"/>
    <col min="4" max="8" width="7.5546875" style="6" bestFit="1" customWidth="1"/>
    <col min="9" max="11" width="5" style="6" customWidth="1"/>
    <col min="12" max="16384" width="5" style="6"/>
  </cols>
  <sheetData>
    <row r="1" spans="1:8" ht="36.75" customHeight="1" x14ac:dyDescent="0.25">
      <c r="A1" s="75" t="s">
        <v>186</v>
      </c>
      <c r="B1" s="76"/>
      <c r="C1" s="77"/>
    </row>
    <row r="2" spans="1:8" ht="24.6" x14ac:dyDescent="0.4">
      <c r="A2" s="7" t="s">
        <v>187</v>
      </c>
      <c r="B2" s="8">
        <v>45806</v>
      </c>
      <c r="C2" s="9"/>
    </row>
    <row r="3" spans="1:8" ht="15" customHeight="1" x14ac:dyDescent="0.25">
      <c r="A3" s="10" t="s">
        <v>188</v>
      </c>
      <c r="B3" s="11" t="s">
        <v>189</v>
      </c>
      <c r="C3" s="12"/>
    </row>
    <row r="4" spans="1:8" ht="15" customHeight="1" x14ac:dyDescent="0.25">
      <c r="A4" s="10" t="s">
        <v>190</v>
      </c>
      <c r="B4" s="13" t="s">
        <v>191</v>
      </c>
      <c r="C4" s="14"/>
    </row>
    <row r="5" spans="1:8" ht="15" customHeight="1" x14ac:dyDescent="0.25">
      <c r="A5" s="15" t="s">
        <v>192</v>
      </c>
      <c r="B5" s="16"/>
      <c r="C5" s="17">
        <f>COUNTIF(C7:C107,"&gt;0")</f>
        <v>14</v>
      </c>
      <c r="D5" s="17">
        <f t="shared" ref="D5:H5" si="0">COUNTIF(D7:D107,"&gt;0")</f>
        <v>14</v>
      </c>
      <c r="E5" s="17">
        <f t="shared" si="0"/>
        <v>8</v>
      </c>
      <c r="F5" s="17">
        <f t="shared" si="0"/>
        <v>12</v>
      </c>
      <c r="G5" s="17">
        <f t="shared" si="0"/>
        <v>9</v>
      </c>
      <c r="H5" s="17">
        <f t="shared" si="0"/>
        <v>9</v>
      </c>
    </row>
    <row r="6" spans="1:8" ht="15" customHeight="1" x14ac:dyDescent="0.25">
      <c r="A6" s="16"/>
      <c r="B6" s="13" t="s">
        <v>193</v>
      </c>
      <c r="C6" s="13" t="s">
        <v>194</v>
      </c>
      <c r="D6" s="18" t="s">
        <v>195</v>
      </c>
      <c r="E6" s="18" t="s">
        <v>196</v>
      </c>
      <c r="F6" s="19" t="s">
        <v>197</v>
      </c>
      <c r="G6" s="19" t="s">
        <v>198</v>
      </c>
      <c r="H6" s="19" t="s">
        <v>199</v>
      </c>
    </row>
    <row r="7" spans="1:8" ht="15" customHeight="1" x14ac:dyDescent="0.25">
      <c r="A7" s="21" t="s">
        <v>200</v>
      </c>
      <c r="B7" s="22"/>
      <c r="C7" s="23"/>
      <c r="D7" s="24"/>
      <c r="E7" s="24"/>
      <c r="F7" s="25"/>
      <c r="G7" s="25"/>
      <c r="H7" s="25"/>
    </row>
    <row r="8" spans="1:8" ht="15" customHeight="1" x14ac:dyDescent="0.25">
      <c r="A8" s="26"/>
      <c r="B8" s="22"/>
      <c r="C8" s="23"/>
      <c r="D8" s="24"/>
      <c r="E8" s="24"/>
      <c r="F8" s="27"/>
      <c r="G8" s="27"/>
      <c r="H8" s="27"/>
    </row>
    <row r="9" spans="1:8" ht="15" customHeight="1" x14ac:dyDescent="0.25">
      <c r="A9" s="21" t="s">
        <v>201</v>
      </c>
      <c r="B9" s="22" t="s">
        <v>202</v>
      </c>
      <c r="C9" s="23"/>
      <c r="D9" s="24"/>
      <c r="E9" s="24"/>
      <c r="F9" s="27"/>
      <c r="G9" s="27"/>
      <c r="H9" s="27"/>
    </row>
    <row r="10" spans="1:8" ht="15" customHeight="1" x14ac:dyDescent="0.25">
      <c r="A10" s="26"/>
      <c r="B10" s="23"/>
      <c r="C10" s="23"/>
      <c r="D10" s="24"/>
      <c r="E10" s="24"/>
      <c r="F10" s="27"/>
      <c r="G10" s="27"/>
      <c r="H10" s="27"/>
    </row>
    <row r="11" spans="1:8" ht="15" customHeight="1" x14ac:dyDescent="0.25">
      <c r="A11" s="10" t="s">
        <v>203</v>
      </c>
      <c r="B11" s="16"/>
      <c r="C11" s="16"/>
      <c r="D11" s="20"/>
      <c r="E11" s="20"/>
      <c r="F11" s="28"/>
      <c r="G11" s="28"/>
      <c r="H11" s="28"/>
    </row>
    <row r="12" spans="1:8" ht="15" customHeight="1" x14ac:dyDescent="0.25">
      <c r="A12" s="10" t="s">
        <v>204</v>
      </c>
      <c r="B12" s="16"/>
      <c r="C12" s="16"/>
      <c r="D12" s="20"/>
      <c r="E12" s="20"/>
      <c r="F12" s="28"/>
      <c r="G12" s="28"/>
      <c r="H12" s="28"/>
    </row>
    <row r="13" spans="1:8" ht="15" customHeight="1" x14ac:dyDescent="0.25">
      <c r="A13" s="10" t="s">
        <v>205</v>
      </c>
      <c r="B13" s="16"/>
      <c r="C13" s="16"/>
      <c r="D13" s="20"/>
      <c r="E13" s="20"/>
      <c r="F13" s="28"/>
      <c r="G13" s="28"/>
      <c r="H13" s="28"/>
    </row>
    <row r="14" spans="1:8" ht="15" customHeight="1" x14ac:dyDescent="0.25">
      <c r="A14" s="21" t="s">
        <v>206</v>
      </c>
      <c r="B14" s="23"/>
      <c r="C14" s="23"/>
      <c r="D14" s="24"/>
      <c r="E14" s="24"/>
      <c r="F14" s="27"/>
      <c r="G14" s="27"/>
      <c r="H14" s="27"/>
    </row>
    <row r="15" spans="1:8" ht="15" customHeight="1" x14ac:dyDescent="0.25">
      <c r="A15" s="11" t="s">
        <v>207</v>
      </c>
      <c r="B15" s="16"/>
      <c r="C15" s="16">
        <v>2</v>
      </c>
      <c r="D15" s="20"/>
      <c r="E15" s="20"/>
      <c r="F15" s="28"/>
      <c r="G15" s="28"/>
      <c r="H15" s="28"/>
    </row>
    <row r="16" spans="1:8" ht="15" customHeight="1" x14ac:dyDescent="0.25">
      <c r="A16" s="21" t="s">
        <v>208</v>
      </c>
      <c r="B16" s="23"/>
      <c r="C16" s="23"/>
      <c r="D16" s="24"/>
      <c r="E16" s="24"/>
      <c r="F16" s="27"/>
      <c r="G16" s="27"/>
      <c r="H16" s="27"/>
    </row>
    <row r="17" spans="1:8" ht="15" customHeight="1" x14ac:dyDescent="0.25">
      <c r="A17" s="11" t="s">
        <v>209</v>
      </c>
      <c r="B17" s="16"/>
      <c r="C17" s="16">
        <v>4</v>
      </c>
      <c r="D17" s="20"/>
      <c r="E17" s="20"/>
      <c r="F17" s="28"/>
      <c r="G17" s="28"/>
      <c r="H17" s="28"/>
    </row>
    <row r="18" spans="1:8" ht="15" customHeight="1" x14ac:dyDescent="0.25">
      <c r="A18" s="11" t="s">
        <v>210</v>
      </c>
      <c r="B18" s="16"/>
      <c r="C18" s="16">
        <v>78</v>
      </c>
      <c r="D18" s="20">
        <v>33</v>
      </c>
      <c r="E18" s="20">
        <v>10</v>
      </c>
      <c r="F18" s="28">
        <v>28</v>
      </c>
      <c r="G18" s="28">
        <v>31</v>
      </c>
      <c r="H18" s="28">
        <v>22</v>
      </c>
    </row>
    <row r="19" spans="1:8" ht="15" customHeight="1" x14ac:dyDescent="0.25">
      <c r="A19" s="21" t="s">
        <v>211</v>
      </c>
      <c r="B19" s="22"/>
      <c r="C19" s="23"/>
      <c r="D19" s="24"/>
      <c r="E19" s="24"/>
      <c r="F19" s="27"/>
      <c r="G19" s="27"/>
      <c r="H19" s="27"/>
    </row>
    <row r="20" spans="1:8" ht="15" customHeight="1" x14ac:dyDescent="0.25">
      <c r="A20" s="21" t="s">
        <v>212</v>
      </c>
      <c r="B20" s="29"/>
      <c r="C20" s="23"/>
      <c r="D20" s="24"/>
      <c r="E20" s="24"/>
      <c r="F20" s="27"/>
      <c r="G20" s="27"/>
      <c r="H20" s="27"/>
    </row>
    <row r="21" spans="1:8" ht="15" customHeight="1" x14ac:dyDescent="0.25">
      <c r="A21" s="11" t="s">
        <v>213</v>
      </c>
      <c r="B21" s="16"/>
      <c r="C21" s="30"/>
      <c r="D21" s="20">
        <v>1</v>
      </c>
      <c r="E21" s="31">
        <v>9</v>
      </c>
      <c r="F21" s="28">
        <v>2</v>
      </c>
      <c r="G21" s="28">
        <v>6</v>
      </c>
      <c r="H21" s="28">
        <v>3</v>
      </c>
    </row>
    <row r="22" spans="1:8" ht="15" customHeight="1" x14ac:dyDescent="0.25">
      <c r="A22" s="11" t="s">
        <v>214</v>
      </c>
      <c r="B22" s="16"/>
      <c r="C22" s="16"/>
      <c r="D22" s="20"/>
      <c r="E22" s="20"/>
      <c r="F22" s="28"/>
      <c r="G22" s="28">
        <v>3</v>
      </c>
      <c r="H22" s="28"/>
    </row>
    <row r="23" spans="1:8" ht="15" customHeight="1" x14ac:dyDescent="0.25">
      <c r="A23" s="11" t="s">
        <v>215</v>
      </c>
      <c r="B23" s="16"/>
      <c r="C23" s="30"/>
      <c r="D23" s="20"/>
      <c r="E23" s="31">
        <v>4</v>
      </c>
      <c r="F23" s="28">
        <v>1</v>
      </c>
      <c r="G23" s="28">
        <v>4</v>
      </c>
      <c r="H23" s="28"/>
    </row>
    <row r="24" spans="1:8" ht="15" customHeight="1" x14ac:dyDescent="0.25">
      <c r="A24" s="11" t="s">
        <v>216</v>
      </c>
      <c r="B24" s="16"/>
      <c r="C24" s="30"/>
      <c r="D24" s="20">
        <v>1</v>
      </c>
      <c r="E24" s="31"/>
      <c r="F24" s="28"/>
      <c r="G24" s="28">
        <v>1</v>
      </c>
      <c r="H24" s="28"/>
    </row>
    <row r="25" spans="1:8" ht="15" customHeight="1" x14ac:dyDescent="0.25">
      <c r="A25" s="11" t="s">
        <v>217</v>
      </c>
      <c r="B25" s="16"/>
      <c r="C25" s="16">
        <v>10</v>
      </c>
      <c r="D25" s="20">
        <v>2</v>
      </c>
      <c r="E25" s="20"/>
      <c r="F25" s="28"/>
      <c r="G25" s="28"/>
      <c r="H25" s="28"/>
    </row>
    <row r="26" spans="1:8" ht="15" customHeight="1" x14ac:dyDescent="0.25">
      <c r="A26" s="11" t="s">
        <v>218</v>
      </c>
      <c r="B26" s="16"/>
      <c r="C26" s="16"/>
      <c r="D26" s="20"/>
      <c r="E26" s="20"/>
      <c r="F26" s="28"/>
      <c r="G26" s="28"/>
      <c r="H26" s="28"/>
    </row>
    <row r="27" spans="1:8" ht="15" customHeight="1" x14ac:dyDescent="0.25">
      <c r="A27" s="21" t="s">
        <v>219</v>
      </c>
      <c r="B27" s="29"/>
      <c r="C27" s="23"/>
      <c r="D27" s="24"/>
      <c r="E27" s="24"/>
      <c r="F27" s="27"/>
      <c r="G27" s="27"/>
      <c r="H27" s="27"/>
    </row>
    <row r="28" spans="1:8" ht="15" customHeight="1" x14ac:dyDescent="0.25">
      <c r="A28" s="11" t="s">
        <v>220</v>
      </c>
      <c r="B28" s="16"/>
      <c r="C28" s="16"/>
      <c r="D28" s="20"/>
      <c r="E28" s="20"/>
      <c r="F28" s="28"/>
      <c r="G28" s="28"/>
      <c r="H28" s="28"/>
    </row>
    <row r="29" spans="1:8" ht="15" customHeight="1" x14ac:dyDescent="0.25">
      <c r="A29" s="11" t="s">
        <v>221</v>
      </c>
      <c r="B29" s="16"/>
      <c r="C29" s="16"/>
      <c r="D29" s="20"/>
      <c r="E29" s="20"/>
      <c r="F29" s="28"/>
      <c r="G29" s="28"/>
      <c r="H29" s="28">
        <v>1</v>
      </c>
    </row>
    <row r="30" spans="1:8" ht="15" customHeight="1" x14ac:dyDescent="0.25">
      <c r="A30" s="21" t="s">
        <v>222</v>
      </c>
      <c r="B30" s="29"/>
      <c r="C30" s="23"/>
      <c r="D30" s="24"/>
      <c r="E30" s="24"/>
      <c r="F30" s="27"/>
      <c r="G30" s="27"/>
      <c r="H30" s="27"/>
    </row>
    <row r="31" spans="1:8" ht="15" customHeight="1" x14ac:dyDescent="0.25">
      <c r="A31" s="11" t="s">
        <v>223</v>
      </c>
      <c r="B31" s="16"/>
      <c r="C31" s="16">
        <v>18</v>
      </c>
      <c r="D31" s="20"/>
      <c r="E31" s="20">
        <v>5</v>
      </c>
      <c r="F31" s="28"/>
      <c r="G31" s="28"/>
      <c r="H31" s="28"/>
    </row>
    <row r="32" spans="1:8" ht="15" customHeight="1" x14ac:dyDescent="0.25">
      <c r="A32" s="11" t="s">
        <v>224</v>
      </c>
      <c r="B32" s="16"/>
      <c r="C32" s="16">
        <v>3</v>
      </c>
      <c r="D32" s="20">
        <v>1</v>
      </c>
      <c r="E32" s="20"/>
      <c r="F32" s="28">
        <v>1</v>
      </c>
      <c r="G32" s="28"/>
      <c r="H32" s="28"/>
    </row>
    <row r="33" spans="1:8" ht="15" customHeight="1" x14ac:dyDescent="0.25">
      <c r="A33" s="11" t="s">
        <v>225</v>
      </c>
      <c r="B33" s="16"/>
      <c r="C33" s="16">
        <v>4</v>
      </c>
      <c r="D33" s="20">
        <v>4</v>
      </c>
      <c r="E33" s="20"/>
      <c r="F33" s="28"/>
      <c r="G33" s="28"/>
      <c r="H33" s="28"/>
    </row>
    <row r="34" spans="1:8" ht="15" customHeight="1" x14ac:dyDescent="0.25">
      <c r="A34" s="11" t="s">
        <v>226</v>
      </c>
      <c r="B34" s="16"/>
      <c r="C34" s="30">
        <v>2</v>
      </c>
      <c r="D34" s="20"/>
      <c r="E34" s="20"/>
      <c r="F34" s="28"/>
      <c r="G34" s="28"/>
      <c r="H34" s="28"/>
    </row>
    <row r="35" spans="1:8" ht="15" customHeight="1" x14ac:dyDescent="0.25">
      <c r="A35" s="11" t="s">
        <v>227</v>
      </c>
      <c r="B35" s="16"/>
      <c r="C35" s="16">
        <v>1</v>
      </c>
      <c r="D35" s="20">
        <v>1</v>
      </c>
      <c r="E35" s="20"/>
      <c r="F35" s="28"/>
      <c r="G35" s="28"/>
      <c r="H35" s="28"/>
    </row>
    <row r="36" spans="1:8" ht="15" customHeight="1" x14ac:dyDescent="0.25">
      <c r="A36" s="21" t="s">
        <v>228</v>
      </c>
      <c r="B36" s="32"/>
      <c r="C36" s="33"/>
      <c r="D36" s="24"/>
      <c r="E36" s="24"/>
      <c r="F36" s="34"/>
      <c r="G36" s="34"/>
      <c r="H36" s="34"/>
    </row>
    <row r="37" spans="1:8" ht="15" customHeight="1" x14ac:dyDescent="0.25">
      <c r="A37" s="11" t="s">
        <v>229</v>
      </c>
      <c r="B37" s="16"/>
      <c r="C37" s="16"/>
      <c r="D37" s="20"/>
      <c r="E37" s="20"/>
      <c r="F37" s="28"/>
      <c r="G37" s="28"/>
      <c r="H37" s="28"/>
    </row>
    <row r="38" spans="1:8" ht="15" customHeight="1" x14ac:dyDescent="0.25">
      <c r="A38" s="11" t="s">
        <v>230</v>
      </c>
      <c r="B38" s="16"/>
      <c r="C38" s="16"/>
      <c r="D38" s="20"/>
      <c r="E38" s="20"/>
      <c r="F38" s="28"/>
      <c r="G38" s="28"/>
      <c r="H38" s="28"/>
    </row>
    <row r="39" spans="1:8" ht="15" customHeight="1" x14ac:dyDescent="0.25">
      <c r="A39" s="11" t="s">
        <v>231</v>
      </c>
      <c r="B39" s="16"/>
      <c r="C39" s="16"/>
      <c r="D39" s="20"/>
      <c r="E39" s="20"/>
      <c r="F39" s="28"/>
      <c r="G39" s="28"/>
      <c r="H39" s="28"/>
    </row>
    <row r="40" spans="1:8" ht="15" customHeight="1" x14ac:dyDescent="0.25">
      <c r="A40" s="11" t="s">
        <v>232</v>
      </c>
      <c r="B40" s="16"/>
      <c r="C40" s="16"/>
      <c r="D40" s="20"/>
      <c r="E40" s="20"/>
      <c r="F40" s="28"/>
      <c r="G40" s="28"/>
      <c r="H40" s="28"/>
    </row>
    <row r="41" spans="1:8" ht="15" customHeight="1" x14ac:dyDescent="0.25">
      <c r="A41" s="11" t="s">
        <v>233</v>
      </c>
      <c r="B41" s="16"/>
      <c r="C41" s="16"/>
      <c r="D41" s="20"/>
      <c r="E41" s="20"/>
      <c r="F41" s="28"/>
      <c r="G41" s="28"/>
      <c r="H41" s="28"/>
    </row>
    <row r="42" spans="1:8" ht="15" customHeight="1" x14ac:dyDescent="0.25">
      <c r="A42" s="11" t="s">
        <v>234</v>
      </c>
      <c r="B42" s="16"/>
      <c r="C42" s="16"/>
      <c r="D42" s="20"/>
      <c r="E42" s="20"/>
      <c r="F42" s="28"/>
      <c r="G42" s="28"/>
      <c r="H42" s="28"/>
    </row>
    <row r="43" spans="1:8" ht="15" customHeight="1" x14ac:dyDescent="0.25">
      <c r="A43" s="21" t="s">
        <v>235</v>
      </c>
      <c r="B43" s="35"/>
      <c r="C43" s="33"/>
      <c r="D43" s="24"/>
      <c r="E43" s="24"/>
      <c r="F43" s="34"/>
      <c r="G43" s="34"/>
      <c r="H43" s="34"/>
    </row>
    <row r="44" spans="1:8" ht="15" customHeight="1" x14ac:dyDescent="0.25">
      <c r="A44" s="11" t="s">
        <v>236</v>
      </c>
      <c r="B44" s="16"/>
      <c r="C44" s="16"/>
      <c r="D44" s="20"/>
      <c r="E44" s="20"/>
      <c r="F44" s="28"/>
      <c r="G44" s="28"/>
      <c r="H44" s="28"/>
    </row>
    <row r="45" spans="1:8" ht="15" customHeight="1" x14ac:dyDescent="0.25">
      <c r="A45" s="21" t="s">
        <v>237</v>
      </c>
      <c r="B45" s="26"/>
      <c r="C45" s="23"/>
      <c r="D45" s="24"/>
      <c r="E45" s="24"/>
      <c r="F45" s="27"/>
      <c r="G45" s="27"/>
      <c r="H45" s="27"/>
    </row>
    <row r="46" spans="1:8" ht="15" customHeight="1" x14ac:dyDescent="0.25">
      <c r="A46" s="11" t="s">
        <v>238</v>
      </c>
      <c r="B46" s="16"/>
      <c r="C46" s="16"/>
      <c r="D46" s="20">
        <v>3</v>
      </c>
      <c r="E46" s="20">
        <v>1</v>
      </c>
      <c r="F46" s="28"/>
      <c r="G46" s="28">
        <v>1</v>
      </c>
      <c r="H46" s="28">
        <v>1</v>
      </c>
    </row>
    <row r="47" spans="1:8" ht="15" customHeight="1" x14ac:dyDescent="0.25">
      <c r="A47" s="11" t="s">
        <v>239</v>
      </c>
      <c r="B47" s="16"/>
      <c r="C47" s="16"/>
      <c r="D47" s="20"/>
      <c r="E47" s="20"/>
      <c r="F47" s="28"/>
      <c r="G47" s="28"/>
      <c r="H47" s="28"/>
    </row>
    <row r="48" spans="1:8" ht="15" customHeight="1" x14ac:dyDescent="0.25">
      <c r="A48" s="11" t="s">
        <v>240</v>
      </c>
      <c r="B48" s="16"/>
      <c r="C48" s="16"/>
      <c r="D48" s="20"/>
      <c r="E48" s="20"/>
      <c r="F48" s="28">
        <v>1</v>
      </c>
      <c r="G48" s="28"/>
      <c r="H48" s="28"/>
    </row>
    <row r="49" spans="1:8" ht="15" customHeight="1" x14ac:dyDescent="0.25">
      <c r="A49" s="11" t="s">
        <v>241</v>
      </c>
      <c r="B49" s="16"/>
      <c r="C49" s="16"/>
      <c r="D49" s="20"/>
      <c r="E49" s="20"/>
      <c r="F49" s="28"/>
      <c r="G49" s="28"/>
      <c r="H49" s="28"/>
    </row>
    <row r="50" spans="1:8" ht="15" customHeight="1" x14ac:dyDescent="0.25">
      <c r="A50" s="11" t="s">
        <v>242</v>
      </c>
      <c r="B50" s="16"/>
      <c r="C50" s="16"/>
      <c r="D50" s="20"/>
      <c r="E50" s="20"/>
      <c r="F50" s="28"/>
      <c r="G50" s="28"/>
      <c r="H50" s="28"/>
    </row>
    <row r="51" spans="1:8" ht="15" customHeight="1" x14ac:dyDescent="0.25">
      <c r="A51" s="11" t="s">
        <v>243</v>
      </c>
      <c r="B51" s="16"/>
      <c r="C51" s="16"/>
      <c r="D51" s="20"/>
      <c r="E51" s="20"/>
      <c r="F51" s="28"/>
      <c r="G51" s="28"/>
      <c r="H51" s="28"/>
    </row>
    <row r="52" spans="1:8" ht="15" customHeight="1" x14ac:dyDescent="0.25">
      <c r="A52" s="21" t="s">
        <v>244</v>
      </c>
      <c r="B52" s="29"/>
      <c r="C52" s="23"/>
      <c r="D52" s="24"/>
      <c r="E52" s="24"/>
      <c r="F52" s="27"/>
      <c r="G52" s="27"/>
      <c r="H52" s="27"/>
    </row>
    <row r="53" spans="1:8" ht="15" customHeight="1" x14ac:dyDescent="0.25">
      <c r="A53" s="11" t="s">
        <v>245</v>
      </c>
      <c r="B53" s="16"/>
      <c r="C53" s="16"/>
      <c r="D53" s="20"/>
      <c r="E53" s="20"/>
      <c r="F53" s="28"/>
      <c r="G53" s="28"/>
      <c r="H53" s="28"/>
    </row>
    <row r="54" spans="1:8" ht="15" customHeight="1" x14ac:dyDescent="0.25">
      <c r="A54" s="11" t="s">
        <v>246</v>
      </c>
      <c r="B54" s="16"/>
      <c r="C54" s="16"/>
      <c r="D54" s="20"/>
      <c r="E54" s="20"/>
      <c r="F54" s="28"/>
      <c r="G54" s="28"/>
      <c r="H54" s="28"/>
    </row>
    <row r="55" spans="1:8" ht="15" customHeight="1" x14ac:dyDescent="0.25">
      <c r="A55" s="11" t="s">
        <v>247</v>
      </c>
      <c r="B55" s="16"/>
      <c r="C55" s="16"/>
      <c r="D55" s="20">
        <v>1</v>
      </c>
      <c r="E55" s="20"/>
      <c r="F55" s="28">
        <v>4</v>
      </c>
      <c r="G55" s="28"/>
      <c r="H55" s="28"/>
    </row>
    <row r="56" spans="1:8" ht="15" customHeight="1" x14ac:dyDescent="0.25">
      <c r="A56" s="11" t="s">
        <v>248</v>
      </c>
      <c r="B56" s="16"/>
      <c r="C56" s="16"/>
      <c r="D56" s="20"/>
      <c r="E56" s="20"/>
      <c r="F56" s="28"/>
      <c r="G56" s="28"/>
      <c r="H56" s="28"/>
    </row>
    <row r="57" spans="1:8" ht="15" customHeight="1" x14ac:dyDescent="0.25">
      <c r="A57" s="11" t="s">
        <v>249</v>
      </c>
      <c r="B57" s="16"/>
      <c r="C57" s="16"/>
      <c r="D57" s="20"/>
      <c r="E57" s="20"/>
      <c r="F57" s="28"/>
      <c r="G57" s="28"/>
      <c r="H57" s="28"/>
    </row>
    <row r="58" spans="1:8" ht="15" customHeight="1" x14ac:dyDescent="0.25">
      <c r="A58" s="11" t="s">
        <v>250</v>
      </c>
      <c r="B58" s="16"/>
      <c r="C58" s="16"/>
      <c r="D58" s="20">
        <v>1</v>
      </c>
      <c r="E58" s="20"/>
      <c r="F58" s="28">
        <v>1</v>
      </c>
      <c r="G58" s="28"/>
      <c r="H58" s="28"/>
    </row>
    <row r="59" spans="1:8" ht="15" customHeight="1" x14ac:dyDescent="0.25">
      <c r="A59" s="16"/>
      <c r="B59" s="16"/>
      <c r="C59" s="16"/>
      <c r="D59" s="20"/>
      <c r="E59" s="20"/>
      <c r="F59" s="28"/>
      <c r="G59" s="28"/>
      <c r="H59" s="28"/>
    </row>
    <row r="60" spans="1:8" ht="15" customHeight="1" x14ac:dyDescent="0.25">
      <c r="A60" s="21" t="s">
        <v>251</v>
      </c>
      <c r="B60" s="29"/>
      <c r="C60" s="23"/>
      <c r="D60" s="24"/>
      <c r="E60" s="24"/>
      <c r="F60" s="27"/>
      <c r="G60" s="27"/>
      <c r="H60" s="27"/>
    </row>
    <row r="61" spans="1:8" ht="15" customHeight="1" x14ac:dyDescent="0.25">
      <c r="A61" s="11" t="s">
        <v>252</v>
      </c>
      <c r="B61" s="16"/>
      <c r="C61" s="30"/>
      <c r="D61" s="20"/>
      <c r="E61" s="20"/>
      <c r="F61" s="28">
        <v>1</v>
      </c>
      <c r="G61" s="28"/>
      <c r="H61" s="28"/>
    </row>
    <row r="62" spans="1:8" ht="15" customHeight="1" x14ac:dyDescent="0.25">
      <c r="A62" s="11" t="s">
        <v>253</v>
      </c>
      <c r="B62" s="16"/>
      <c r="C62" s="16"/>
      <c r="D62" s="20"/>
      <c r="E62" s="20"/>
      <c r="F62" s="28"/>
      <c r="G62" s="28"/>
      <c r="H62" s="28">
        <v>1</v>
      </c>
    </row>
    <row r="63" spans="1:8" ht="15" customHeight="1" x14ac:dyDescent="0.25">
      <c r="A63" s="11" t="s">
        <v>254</v>
      </c>
      <c r="B63" s="16"/>
      <c r="C63" s="16"/>
      <c r="D63" s="20">
        <v>3</v>
      </c>
      <c r="E63" s="20"/>
      <c r="F63" s="28"/>
      <c r="G63" s="28"/>
      <c r="H63" s="28">
        <v>1</v>
      </c>
    </row>
    <row r="64" spans="1:8" ht="15" customHeight="1" x14ac:dyDescent="0.25">
      <c r="A64" s="11" t="s">
        <v>255</v>
      </c>
      <c r="B64" s="16"/>
      <c r="C64" s="16"/>
      <c r="D64" s="20"/>
      <c r="E64" s="20"/>
      <c r="F64" s="28"/>
      <c r="G64" s="28"/>
      <c r="H64" s="28"/>
    </row>
    <row r="65" spans="1:8" ht="15" customHeight="1" x14ac:dyDescent="0.25">
      <c r="A65" s="11" t="s">
        <v>256</v>
      </c>
      <c r="B65" s="16"/>
      <c r="C65" s="16"/>
      <c r="D65" s="20"/>
      <c r="E65" s="20"/>
      <c r="F65" s="28"/>
      <c r="G65" s="28"/>
      <c r="H65" s="28"/>
    </row>
    <row r="66" spans="1:8" ht="15" customHeight="1" x14ac:dyDescent="0.25">
      <c r="A66" s="11" t="s">
        <v>257</v>
      </c>
      <c r="B66" s="16"/>
      <c r="C66" s="16"/>
      <c r="D66" s="20"/>
      <c r="E66" s="20"/>
      <c r="F66" s="28">
        <v>4</v>
      </c>
      <c r="G66" s="28"/>
      <c r="H66" s="28">
        <v>2</v>
      </c>
    </row>
    <row r="67" spans="1:8" ht="15" customHeight="1" x14ac:dyDescent="0.25">
      <c r="A67" s="11" t="s">
        <v>258</v>
      </c>
      <c r="B67" s="16"/>
      <c r="C67" s="16"/>
      <c r="D67" s="20"/>
      <c r="E67" s="20"/>
      <c r="F67" s="28"/>
      <c r="G67" s="28"/>
      <c r="H67" s="28"/>
    </row>
    <row r="68" spans="1:8" ht="15" customHeight="1" x14ac:dyDescent="0.25">
      <c r="A68" s="11" t="s">
        <v>259</v>
      </c>
      <c r="B68" s="16"/>
      <c r="C68" s="16"/>
      <c r="D68" s="20"/>
      <c r="E68" s="20"/>
      <c r="F68" s="28"/>
      <c r="G68" s="28"/>
      <c r="H68" s="28"/>
    </row>
    <row r="69" spans="1:8" ht="15" customHeight="1" x14ac:dyDescent="0.25">
      <c r="A69" s="11" t="s">
        <v>260</v>
      </c>
      <c r="B69" s="16"/>
      <c r="C69" s="16"/>
      <c r="D69" s="20"/>
      <c r="E69" s="20"/>
      <c r="F69" s="28"/>
      <c r="G69" s="28"/>
      <c r="H69" s="28"/>
    </row>
    <row r="70" spans="1:8" ht="15" customHeight="1" x14ac:dyDescent="0.25">
      <c r="A70" s="11" t="s">
        <v>261</v>
      </c>
      <c r="B70" s="16"/>
      <c r="C70" s="16"/>
      <c r="D70" s="20"/>
      <c r="E70" s="20"/>
      <c r="F70" s="28"/>
      <c r="G70" s="28">
        <v>6</v>
      </c>
      <c r="H70" s="28"/>
    </row>
    <row r="71" spans="1:8" ht="15" customHeight="1" x14ac:dyDescent="0.25">
      <c r="A71" s="11" t="s">
        <v>262</v>
      </c>
      <c r="B71" s="16"/>
      <c r="C71" s="16"/>
      <c r="D71" s="20"/>
      <c r="E71" s="20"/>
      <c r="F71" s="28"/>
      <c r="G71" s="28"/>
      <c r="H71" s="28"/>
    </row>
    <row r="72" spans="1:8" ht="15" customHeight="1" x14ac:dyDescent="0.25">
      <c r="A72" s="11" t="s">
        <v>263</v>
      </c>
      <c r="B72" s="16"/>
      <c r="C72" s="16"/>
      <c r="D72" s="20"/>
      <c r="E72" s="20"/>
      <c r="F72" s="28"/>
      <c r="G72" s="28"/>
      <c r="H72" s="28"/>
    </row>
    <row r="73" spans="1:8" ht="15" customHeight="1" x14ac:dyDescent="0.25">
      <c r="A73" s="11" t="s">
        <v>264</v>
      </c>
      <c r="B73" s="16"/>
      <c r="C73" s="16"/>
      <c r="D73" s="20"/>
      <c r="E73" s="20"/>
      <c r="F73" s="28"/>
      <c r="G73" s="28"/>
      <c r="H73" s="28"/>
    </row>
    <row r="74" spans="1:8" ht="15" customHeight="1" x14ac:dyDescent="0.25">
      <c r="A74" s="36" t="s">
        <v>265</v>
      </c>
      <c r="B74" s="16"/>
      <c r="C74" s="16"/>
      <c r="D74" s="20"/>
      <c r="E74" s="20"/>
      <c r="F74" s="28"/>
      <c r="G74" s="28"/>
      <c r="H74" s="28"/>
    </row>
    <row r="75" spans="1:8" ht="15" customHeight="1" x14ac:dyDescent="0.25">
      <c r="A75" s="21" t="s">
        <v>266</v>
      </c>
      <c r="B75" s="29"/>
      <c r="C75" s="23"/>
      <c r="D75" s="24"/>
      <c r="E75" s="24"/>
      <c r="F75" s="27"/>
      <c r="G75" s="27"/>
      <c r="H75" s="27"/>
    </row>
    <row r="76" spans="1:8" ht="15" customHeight="1" x14ac:dyDescent="0.25">
      <c r="A76" s="11" t="s">
        <v>267</v>
      </c>
      <c r="B76" s="16"/>
      <c r="C76" s="16">
        <v>2</v>
      </c>
      <c r="D76" s="20">
        <v>2</v>
      </c>
      <c r="E76" s="20"/>
      <c r="F76" s="28"/>
      <c r="G76" s="28"/>
      <c r="H76" s="28"/>
    </row>
    <row r="77" spans="1:8" ht="15" customHeight="1" x14ac:dyDescent="0.25">
      <c r="A77" s="11" t="s">
        <v>268</v>
      </c>
      <c r="B77" s="16"/>
      <c r="C77" s="16"/>
      <c r="D77" s="20"/>
      <c r="E77" s="20"/>
      <c r="F77" s="28"/>
      <c r="G77" s="28"/>
      <c r="H77" s="28"/>
    </row>
    <row r="78" spans="1:8" ht="15" customHeight="1" x14ac:dyDescent="0.25">
      <c r="A78" s="21" t="s">
        <v>269</v>
      </c>
      <c r="B78" s="23"/>
      <c r="C78" s="23"/>
      <c r="D78" s="24"/>
      <c r="E78" s="24"/>
      <c r="F78" s="27"/>
      <c r="G78" s="27"/>
      <c r="H78" s="27"/>
    </row>
    <row r="79" spans="1:8" ht="15" customHeight="1" x14ac:dyDescent="0.25">
      <c r="A79" s="21" t="s">
        <v>270</v>
      </c>
      <c r="B79" s="29"/>
      <c r="C79" s="23"/>
      <c r="D79" s="24"/>
      <c r="E79" s="24"/>
      <c r="F79" s="27"/>
      <c r="G79" s="27"/>
      <c r="H79" s="27"/>
    </row>
    <row r="80" spans="1:8" ht="15" customHeight="1" x14ac:dyDescent="0.25">
      <c r="A80" s="11" t="s">
        <v>271</v>
      </c>
      <c r="B80" s="16"/>
      <c r="C80" s="16"/>
      <c r="D80" s="20"/>
      <c r="E80" s="20"/>
      <c r="F80" s="28"/>
      <c r="G80" s="28"/>
      <c r="H80" s="28"/>
    </row>
    <row r="81" spans="1:8" ht="15" customHeight="1" x14ac:dyDescent="0.25">
      <c r="A81" s="11" t="s">
        <v>272</v>
      </c>
      <c r="B81" s="16"/>
      <c r="C81" s="16"/>
      <c r="D81" s="20"/>
      <c r="E81" s="20"/>
      <c r="F81" s="28"/>
      <c r="G81" s="28"/>
      <c r="H81" s="28"/>
    </row>
    <row r="82" spans="1:8" ht="15" customHeight="1" x14ac:dyDescent="0.25">
      <c r="A82" s="11" t="s">
        <v>273</v>
      </c>
      <c r="B82" s="16"/>
      <c r="C82" s="16"/>
      <c r="D82" s="20"/>
      <c r="E82" s="20"/>
      <c r="F82" s="28"/>
      <c r="G82" s="28"/>
      <c r="H82" s="28"/>
    </row>
    <row r="83" spans="1:8" ht="15" customHeight="1" x14ac:dyDescent="0.25">
      <c r="A83" s="11" t="s">
        <v>274</v>
      </c>
      <c r="B83" s="16"/>
      <c r="C83" s="16"/>
      <c r="D83" s="20"/>
      <c r="E83" s="20"/>
      <c r="F83" s="28"/>
      <c r="G83" s="28"/>
      <c r="H83" s="28"/>
    </row>
    <row r="84" spans="1:8" ht="15" customHeight="1" x14ac:dyDescent="0.25">
      <c r="A84" s="11" t="s">
        <v>275</v>
      </c>
      <c r="B84" s="16"/>
      <c r="C84" s="16"/>
      <c r="D84" s="20"/>
      <c r="E84" s="20"/>
      <c r="F84" s="28"/>
      <c r="G84" s="28"/>
      <c r="H84" s="28"/>
    </row>
    <row r="85" spans="1:8" ht="15" customHeight="1" x14ac:dyDescent="0.25">
      <c r="A85" s="21" t="s">
        <v>276</v>
      </c>
      <c r="B85" s="29"/>
      <c r="C85" s="26"/>
      <c r="D85" s="24"/>
      <c r="E85" s="24"/>
      <c r="F85" s="37"/>
      <c r="G85" s="37"/>
      <c r="H85" s="37"/>
    </row>
    <row r="86" spans="1:8" ht="15" customHeight="1" x14ac:dyDescent="0.25">
      <c r="A86" s="11" t="s">
        <v>277</v>
      </c>
      <c r="B86" s="16"/>
      <c r="C86" s="16"/>
      <c r="D86" s="20"/>
      <c r="E86" s="20"/>
      <c r="F86" s="28"/>
      <c r="G86" s="28"/>
      <c r="H86" s="28"/>
    </row>
    <row r="87" spans="1:8" ht="15" customHeight="1" x14ac:dyDescent="0.25">
      <c r="A87" s="11" t="s">
        <v>278</v>
      </c>
      <c r="B87" s="16"/>
      <c r="C87" s="16"/>
      <c r="D87" s="20"/>
      <c r="E87" s="20"/>
      <c r="F87" s="28"/>
      <c r="G87" s="28"/>
      <c r="H87" s="28"/>
    </row>
    <row r="88" spans="1:8" ht="15" customHeight="1" x14ac:dyDescent="0.25">
      <c r="A88" s="21" t="s">
        <v>279</v>
      </c>
      <c r="B88" s="26"/>
      <c r="C88" s="23"/>
      <c r="D88" s="38"/>
      <c r="E88" s="38"/>
      <c r="F88" s="27"/>
      <c r="G88" s="27"/>
      <c r="H88" s="27"/>
    </row>
    <row r="89" spans="1:8" ht="15" customHeight="1" x14ac:dyDescent="0.25">
      <c r="A89" s="11" t="s">
        <v>280</v>
      </c>
      <c r="B89" s="16"/>
      <c r="C89" s="16">
        <v>1</v>
      </c>
      <c r="D89" s="20"/>
      <c r="E89" s="20"/>
      <c r="F89" s="28"/>
      <c r="G89" s="28"/>
      <c r="H89" s="28">
        <v>3</v>
      </c>
    </row>
    <row r="90" spans="1:8" ht="15" customHeight="1" x14ac:dyDescent="0.25">
      <c r="A90" s="21" t="s">
        <v>281</v>
      </c>
      <c r="B90" s="29"/>
      <c r="C90" s="23"/>
      <c r="D90" s="24"/>
      <c r="E90" s="24"/>
      <c r="F90" s="27"/>
      <c r="G90" s="27"/>
      <c r="H90" s="27"/>
    </row>
    <row r="91" spans="1:8" ht="15" customHeight="1" x14ac:dyDescent="0.25">
      <c r="A91" s="10" t="s">
        <v>282</v>
      </c>
      <c r="B91" s="16"/>
      <c r="C91" s="30">
        <v>51</v>
      </c>
      <c r="D91" s="20">
        <v>3</v>
      </c>
      <c r="E91" s="20">
        <v>47</v>
      </c>
      <c r="F91" s="28">
        <v>52</v>
      </c>
      <c r="G91" s="28">
        <v>15</v>
      </c>
      <c r="H91" s="28">
        <v>20</v>
      </c>
    </row>
    <row r="92" spans="1:8" ht="15" customHeight="1" x14ac:dyDescent="0.25">
      <c r="A92" s="10" t="s">
        <v>283</v>
      </c>
      <c r="B92" s="16"/>
      <c r="C92" s="16"/>
      <c r="D92" s="20"/>
      <c r="E92" s="20"/>
      <c r="F92" s="28"/>
      <c r="G92" s="28"/>
      <c r="H92" s="28"/>
    </row>
    <row r="93" spans="1:8" ht="15" customHeight="1" x14ac:dyDescent="0.25">
      <c r="A93" s="11" t="s">
        <v>284</v>
      </c>
      <c r="B93" s="16"/>
      <c r="C93" s="16"/>
      <c r="D93" s="20"/>
      <c r="E93" s="20"/>
      <c r="F93" s="28"/>
      <c r="G93" s="28"/>
      <c r="H93" s="28"/>
    </row>
    <row r="94" spans="1:8" ht="15" customHeight="1" x14ac:dyDescent="0.25">
      <c r="A94" s="11" t="s">
        <v>285</v>
      </c>
      <c r="B94" s="16"/>
      <c r="C94" s="16">
        <v>2</v>
      </c>
      <c r="D94" s="20">
        <v>1</v>
      </c>
      <c r="E94" s="20"/>
      <c r="F94" s="28"/>
      <c r="G94" s="28"/>
      <c r="H94" s="28"/>
    </row>
    <row r="95" spans="1:8" ht="15" customHeight="1" x14ac:dyDescent="0.25">
      <c r="A95" s="11" t="s">
        <v>286</v>
      </c>
      <c r="B95" s="16"/>
      <c r="C95" s="16"/>
      <c r="D95" s="20"/>
      <c r="E95" s="20">
        <v>1</v>
      </c>
      <c r="F95" s="28"/>
      <c r="G95" s="28"/>
      <c r="H95" s="28"/>
    </row>
    <row r="96" spans="1:8" ht="15" customHeight="1" x14ac:dyDescent="0.25">
      <c r="A96" s="11" t="s">
        <v>287</v>
      </c>
      <c r="B96" s="16"/>
      <c r="C96" s="16">
        <v>3</v>
      </c>
      <c r="D96" s="20"/>
      <c r="E96" s="20">
        <v>5</v>
      </c>
      <c r="F96" s="28">
        <v>7</v>
      </c>
      <c r="G96" s="28"/>
      <c r="H96" s="28"/>
    </row>
    <row r="97" spans="1:7" x14ac:dyDescent="0.25">
      <c r="A97" s="39" t="s">
        <v>288</v>
      </c>
    </row>
    <row r="98" spans="1:7" x14ac:dyDescent="0.25">
      <c r="A98" s="39" t="s">
        <v>289</v>
      </c>
      <c r="G98" s="6">
        <v>4</v>
      </c>
    </row>
    <row r="99" spans="1:7" x14ac:dyDescent="0.25">
      <c r="A99" s="39" t="s">
        <v>290</v>
      </c>
      <c r="F99" s="6">
        <v>3</v>
      </c>
    </row>
  </sheetData>
  <mergeCells count="1">
    <mergeCell ref="A1:C1"/>
  </mergeCells>
  <conditionalFormatting sqref="B2:H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{68E7E739-3AAF-4F05-BF5D-CB6830A6D9C7}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7E739-3AAF-4F05-BF5D-CB6830A6D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B2:H99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DAC8-1971-4EA6-B13A-D26FE22D3D9D}">
  <sheetPr>
    <tabColor theme="7" tint="0.39997558519241921"/>
  </sheetPr>
  <dimension ref="A1:H99"/>
  <sheetViews>
    <sheetView topLeftCell="A2" zoomScale="80" zoomScaleNormal="80" workbookViewId="0">
      <selection activeCell="A2" sqref="A2:H98"/>
    </sheetView>
  </sheetViews>
  <sheetFormatPr defaultColWidth="5" defaultRowHeight="13.2" x14ac:dyDescent="0.25"/>
  <cols>
    <col min="1" max="1" width="36.5546875" style="6" customWidth="1"/>
    <col min="2" max="2" width="39.109375" style="6" customWidth="1"/>
    <col min="3" max="3" width="7.5546875" style="6" customWidth="1"/>
    <col min="4" max="8" width="7" style="6" bestFit="1" customWidth="1"/>
    <col min="9" max="13" width="5" style="6" customWidth="1"/>
    <col min="14" max="16384" width="5" style="6"/>
  </cols>
  <sheetData>
    <row r="1" spans="1:8" ht="36.75" customHeight="1" x14ac:dyDescent="0.25">
      <c r="A1" s="75" t="s">
        <v>186</v>
      </c>
      <c r="B1" s="76"/>
      <c r="C1" s="77"/>
      <c r="D1" s="40"/>
      <c r="E1" s="40"/>
    </row>
    <row r="2" spans="1:8" ht="24.6" x14ac:dyDescent="0.4">
      <c r="A2" s="7" t="s">
        <v>187</v>
      </c>
      <c r="B2" s="8">
        <v>45806</v>
      </c>
      <c r="C2" s="9"/>
      <c r="D2" s="40"/>
      <c r="E2" s="40"/>
    </row>
    <row r="3" spans="1:8" ht="15" customHeight="1" x14ac:dyDescent="0.25">
      <c r="A3" s="10" t="s">
        <v>188</v>
      </c>
      <c r="B3" s="11" t="s">
        <v>189</v>
      </c>
      <c r="C3" s="12"/>
      <c r="D3" s="40"/>
      <c r="E3" s="40"/>
    </row>
    <row r="4" spans="1:8" ht="15" customHeight="1" x14ac:dyDescent="0.25">
      <c r="A4" s="10" t="s">
        <v>190</v>
      </c>
      <c r="B4" s="41" t="s">
        <v>291</v>
      </c>
      <c r="C4" s="14"/>
      <c r="D4" s="40"/>
      <c r="E4" s="40"/>
    </row>
    <row r="5" spans="1:8" ht="15" customHeight="1" x14ac:dyDescent="0.25">
      <c r="A5" s="15" t="s">
        <v>192</v>
      </c>
      <c r="B5" s="16"/>
      <c r="C5" s="17">
        <f>COUNTIF(C7:C107,"&gt;0")</f>
        <v>22</v>
      </c>
      <c r="D5" s="17">
        <f t="shared" ref="D5:H5" si="0">COUNTIF(D7:D107,"&gt;0")</f>
        <v>10</v>
      </c>
      <c r="E5" s="17">
        <f t="shared" si="0"/>
        <v>9</v>
      </c>
      <c r="F5" s="17">
        <f t="shared" si="0"/>
        <v>9</v>
      </c>
      <c r="G5" s="17">
        <f t="shared" si="0"/>
        <v>12</v>
      </c>
      <c r="H5" s="17">
        <f t="shared" si="0"/>
        <v>6</v>
      </c>
    </row>
    <row r="6" spans="1:8" ht="15" customHeight="1" x14ac:dyDescent="0.25">
      <c r="A6" s="16"/>
      <c r="B6" s="13" t="s">
        <v>193</v>
      </c>
      <c r="C6" s="42" t="s">
        <v>194</v>
      </c>
      <c r="D6" s="43" t="s">
        <v>195</v>
      </c>
      <c r="E6" s="44" t="s">
        <v>196</v>
      </c>
      <c r="F6" s="45" t="s">
        <v>197</v>
      </c>
      <c r="G6" s="45" t="s">
        <v>198</v>
      </c>
      <c r="H6" s="46" t="s">
        <v>199</v>
      </c>
    </row>
    <row r="7" spans="1:8" ht="15" customHeight="1" x14ac:dyDescent="0.25">
      <c r="A7" s="21" t="s">
        <v>200</v>
      </c>
      <c r="B7" s="47"/>
      <c r="C7" s="48"/>
      <c r="D7" s="49"/>
      <c r="E7" s="49"/>
      <c r="F7" s="24"/>
      <c r="G7" s="24"/>
      <c r="H7" s="27"/>
    </row>
    <row r="8" spans="1:8" ht="15" customHeight="1" x14ac:dyDescent="0.25">
      <c r="A8" s="26"/>
      <c r="B8" s="47"/>
      <c r="C8" s="48"/>
      <c r="D8" s="49"/>
      <c r="E8" s="49"/>
      <c r="F8" s="24"/>
      <c r="G8" s="24"/>
      <c r="H8" s="27"/>
    </row>
    <row r="9" spans="1:8" ht="15" customHeight="1" x14ac:dyDescent="0.25">
      <c r="A9" s="21" t="s">
        <v>201</v>
      </c>
      <c r="B9" s="47"/>
      <c r="C9" s="48"/>
      <c r="D9" s="49"/>
      <c r="E9" s="49"/>
      <c r="F9" s="24"/>
      <c r="G9" s="24"/>
      <c r="H9" s="27"/>
    </row>
    <row r="10" spans="1:8" ht="15" customHeight="1" x14ac:dyDescent="0.25">
      <c r="A10" s="26"/>
      <c r="B10" s="50"/>
      <c r="C10" s="48"/>
      <c r="D10" s="49"/>
      <c r="E10" s="49"/>
      <c r="F10" s="24"/>
      <c r="G10" s="24"/>
      <c r="H10" s="27"/>
    </row>
    <row r="11" spans="1:8" ht="15" customHeight="1" x14ac:dyDescent="0.25">
      <c r="A11" s="10" t="s">
        <v>203</v>
      </c>
      <c r="B11" s="51"/>
      <c r="C11" s="52">
        <v>1</v>
      </c>
      <c r="D11" s="52"/>
      <c r="E11" s="52"/>
      <c r="F11" s="20"/>
      <c r="G11" s="20"/>
      <c r="H11" s="28"/>
    </row>
    <row r="12" spans="1:8" ht="15" customHeight="1" x14ac:dyDescent="0.25">
      <c r="A12" s="10" t="s">
        <v>204</v>
      </c>
      <c r="B12" s="51"/>
      <c r="C12" s="52">
        <v>3</v>
      </c>
      <c r="D12" s="52">
        <v>18</v>
      </c>
      <c r="E12" s="52"/>
      <c r="F12" s="20"/>
      <c r="G12" s="20"/>
      <c r="H12" s="28"/>
    </row>
    <row r="13" spans="1:8" ht="15" customHeight="1" x14ac:dyDescent="0.25">
      <c r="A13" s="10" t="s">
        <v>205</v>
      </c>
      <c r="B13" s="51"/>
      <c r="C13" s="20"/>
      <c r="D13" s="52"/>
      <c r="E13" s="52"/>
      <c r="F13" s="20"/>
      <c r="G13" s="20"/>
      <c r="H13" s="28"/>
    </row>
    <row r="14" spans="1:8" ht="15" customHeight="1" x14ac:dyDescent="0.25">
      <c r="A14" s="21" t="s">
        <v>206</v>
      </c>
      <c r="B14" s="50"/>
      <c r="C14" s="48"/>
      <c r="D14" s="49"/>
      <c r="E14" s="49"/>
      <c r="F14" s="24"/>
      <c r="G14" s="24"/>
      <c r="H14" s="27"/>
    </row>
    <row r="15" spans="1:8" ht="15" customHeight="1" x14ac:dyDescent="0.25">
      <c r="A15" s="11" t="s">
        <v>207</v>
      </c>
      <c r="B15" s="51"/>
      <c r="C15" s="20">
        <v>2</v>
      </c>
      <c r="D15" s="52">
        <v>12</v>
      </c>
      <c r="E15" s="52">
        <v>5</v>
      </c>
      <c r="F15" s="20">
        <v>13</v>
      </c>
      <c r="G15" s="20">
        <v>2</v>
      </c>
      <c r="H15" s="28">
        <v>10</v>
      </c>
    </row>
    <row r="16" spans="1:8" ht="15" customHeight="1" x14ac:dyDescent="0.25">
      <c r="A16" s="21" t="s">
        <v>208</v>
      </c>
      <c r="B16" s="50"/>
      <c r="C16" s="48"/>
      <c r="D16" s="49"/>
      <c r="E16" s="49"/>
      <c r="F16" s="24"/>
      <c r="G16" s="24"/>
      <c r="H16" s="27"/>
    </row>
    <row r="17" spans="1:8" ht="15" customHeight="1" x14ac:dyDescent="0.25">
      <c r="A17" s="11" t="s">
        <v>209</v>
      </c>
      <c r="B17" s="51"/>
      <c r="C17" s="52">
        <v>4</v>
      </c>
      <c r="D17" s="52"/>
      <c r="E17" s="52"/>
      <c r="F17" s="20"/>
      <c r="G17" s="20"/>
      <c r="H17" s="28"/>
    </row>
    <row r="18" spans="1:8" ht="15" customHeight="1" x14ac:dyDescent="0.25">
      <c r="A18" s="11" t="s">
        <v>210</v>
      </c>
      <c r="B18" s="51"/>
      <c r="C18" s="20">
        <v>15</v>
      </c>
      <c r="D18" s="52">
        <v>2</v>
      </c>
      <c r="E18" s="52">
        <v>42</v>
      </c>
      <c r="F18" s="20">
        <v>37</v>
      </c>
      <c r="G18" s="31">
        <v>18</v>
      </c>
      <c r="H18" s="28">
        <v>8</v>
      </c>
    </row>
    <row r="19" spans="1:8" ht="15" customHeight="1" x14ac:dyDescent="0.25">
      <c r="A19" s="21" t="s">
        <v>211</v>
      </c>
      <c r="B19" s="47"/>
      <c r="C19" s="48"/>
      <c r="D19" s="49"/>
      <c r="E19" s="49"/>
      <c r="F19" s="24"/>
      <c r="G19" s="24"/>
      <c r="H19" s="27"/>
    </row>
    <row r="20" spans="1:8" ht="15" customHeight="1" x14ac:dyDescent="0.25">
      <c r="A20" s="21" t="s">
        <v>212</v>
      </c>
      <c r="B20" s="35"/>
      <c r="C20" s="48"/>
      <c r="D20" s="49"/>
      <c r="E20" s="49"/>
      <c r="F20" s="24"/>
      <c r="G20" s="24"/>
      <c r="H20" s="27"/>
    </row>
    <row r="21" spans="1:8" ht="15" customHeight="1" x14ac:dyDescent="0.25">
      <c r="A21" s="11" t="s">
        <v>213</v>
      </c>
      <c r="B21" s="51"/>
      <c r="C21" s="20"/>
      <c r="D21" s="52"/>
      <c r="E21" s="52"/>
      <c r="F21" s="20"/>
      <c r="G21" s="20">
        <v>3</v>
      </c>
      <c r="H21" s="28"/>
    </row>
    <row r="22" spans="1:8" ht="15" customHeight="1" x14ac:dyDescent="0.25">
      <c r="A22" s="11" t="s">
        <v>214</v>
      </c>
      <c r="B22" s="51"/>
      <c r="C22" s="20">
        <v>5</v>
      </c>
      <c r="D22" s="52">
        <v>1</v>
      </c>
      <c r="E22" s="52"/>
      <c r="F22" s="20"/>
      <c r="G22" s="20">
        <v>2</v>
      </c>
      <c r="H22" s="28"/>
    </row>
    <row r="23" spans="1:8" ht="15" customHeight="1" x14ac:dyDescent="0.25">
      <c r="A23" s="11" t="s">
        <v>215</v>
      </c>
      <c r="B23" s="51"/>
      <c r="C23" s="52"/>
      <c r="D23" s="52"/>
      <c r="E23" s="52">
        <v>1</v>
      </c>
      <c r="F23" s="20"/>
      <c r="G23" s="20"/>
      <c r="H23" s="28"/>
    </row>
    <row r="24" spans="1:8" ht="15" customHeight="1" x14ac:dyDescent="0.25">
      <c r="A24" s="11" t="s">
        <v>216</v>
      </c>
      <c r="B24" s="51"/>
      <c r="C24" s="52"/>
      <c r="D24" s="52"/>
      <c r="E24" s="52"/>
      <c r="F24" s="20"/>
      <c r="G24" s="20"/>
      <c r="H24" s="28"/>
    </row>
    <row r="25" spans="1:8" ht="15" customHeight="1" x14ac:dyDescent="0.25">
      <c r="A25" s="11" t="s">
        <v>217</v>
      </c>
      <c r="B25" s="51"/>
      <c r="C25" s="52">
        <v>1</v>
      </c>
      <c r="D25" s="52">
        <v>2</v>
      </c>
      <c r="E25" s="52"/>
      <c r="F25" s="20"/>
      <c r="G25" s="20"/>
      <c r="H25" s="28"/>
    </row>
    <row r="26" spans="1:8" ht="15" customHeight="1" x14ac:dyDescent="0.25">
      <c r="A26" s="11" t="s">
        <v>218</v>
      </c>
      <c r="B26" s="51"/>
      <c r="C26" s="52">
        <v>4</v>
      </c>
      <c r="D26" s="52"/>
      <c r="E26" s="52"/>
      <c r="F26" s="20"/>
      <c r="G26" s="20"/>
      <c r="H26" s="28"/>
    </row>
    <row r="27" spans="1:8" ht="15" customHeight="1" x14ac:dyDescent="0.25">
      <c r="A27" s="21" t="s">
        <v>219</v>
      </c>
      <c r="B27" s="35"/>
      <c r="C27" s="48"/>
      <c r="D27" s="49"/>
      <c r="E27" s="49"/>
      <c r="F27" s="24"/>
      <c r="G27" s="24"/>
      <c r="H27" s="27"/>
    </row>
    <row r="28" spans="1:8" ht="15" customHeight="1" x14ac:dyDescent="0.25">
      <c r="A28" s="11" t="s">
        <v>220</v>
      </c>
      <c r="B28" s="51"/>
      <c r="C28" s="52"/>
      <c r="D28" s="52"/>
      <c r="E28" s="52"/>
      <c r="F28" s="20"/>
      <c r="G28" s="20"/>
      <c r="H28" s="28"/>
    </row>
    <row r="29" spans="1:8" ht="15" customHeight="1" x14ac:dyDescent="0.25">
      <c r="A29" s="11" t="s">
        <v>221</v>
      </c>
      <c r="B29" s="51"/>
      <c r="C29" s="52"/>
      <c r="D29" s="52">
        <v>2</v>
      </c>
      <c r="E29" s="52"/>
      <c r="F29" s="20"/>
      <c r="G29" s="20"/>
      <c r="H29" s="28">
        <v>1</v>
      </c>
    </row>
    <row r="30" spans="1:8" ht="15" customHeight="1" x14ac:dyDescent="0.25">
      <c r="A30" s="21" t="s">
        <v>222</v>
      </c>
      <c r="B30" s="35"/>
      <c r="C30" s="48"/>
      <c r="D30" s="49"/>
      <c r="E30" s="49"/>
      <c r="F30" s="24"/>
      <c r="G30" s="24"/>
      <c r="H30" s="27"/>
    </row>
    <row r="31" spans="1:8" ht="15" customHeight="1" x14ac:dyDescent="0.25">
      <c r="A31" s="11" t="s">
        <v>223</v>
      </c>
      <c r="B31" s="51"/>
      <c r="C31" s="52"/>
      <c r="D31" s="52"/>
      <c r="E31" s="52"/>
      <c r="F31" s="20"/>
      <c r="G31" s="20"/>
      <c r="H31" s="28"/>
    </row>
    <row r="32" spans="1:8" ht="15" customHeight="1" x14ac:dyDescent="0.25">
      <c r="A32" s="11" t="s">
        <v>224</v>
      </c>
      <c r="B32" s="51"/>
      <c r="C32" s="52"/>
      <c r="D32" s="52"/>
      <c r="E32" s="52"/>
      <c r="F32" s="20"/>
      <c r="G32" s="20"/>
      <c r="H32" s="28"/>
    </row>
    <row r="33" spans="1:8" ht="15" customHeight="1" x14ac:dyDescent="0.25">
      <c r="A33" s="11" t="s">
        <v>225</v>
      </c>
      <c r="B33" s="51"/>
      <c r="C33" s="52"/>
      <c r="D33" s="52"/>
      <c r="E33" s="52"/>
      <c r="F33" s="20"/>
      <c r="G33" s="20"/>
      <c r="H33" s="28"/>
    </row>
    <row r="34" spans="1:8" ht="15" customHeight="1" x14ac:dyDescent="0.25">
      <c r="A34" s="11" t="s">
        <v>226</v>
      </c>
      <c r="B34" s="51"/>
      <c r="C34" s="52"/>
      <c r="D34" s="52"/>
      <c r="E34" s="52"/>
      <c r="F34" s="20"/>
      <c r="G34" s="20"/>
      <c r="H34" s="28"/>
    </row>
    <row r="35" spans="1:8" ht="15" customHeight="1" x14ac:dyDescent="0.25">
      <c r="A35" s="11" t="s">
        <v>227</v>
      </c>
      <c r="B35" s="51"/>
      <c r="C35" s="52"/>
      <c r="D35" s="52"/>
      <c r="E35" s="52"/>
      <c r="F35" s="20"/>
      <c r="G35" s="20"/>
      <c r="H35" s="28"/>
    </row>
    <row r="36" spans="1:8" ht="15" customHeight="1" x14ac:dyDescent="0.25">
      <c r="A36" s="21" t="s">
        <v>228</v>
      </c>
      <c r="B36" s="32"/>
      <c r="C36" s="48"/>
      <c r="D36" s="49"/>
      <c r="E36" s="49"/>
      <c r="F36" s="24"/>
      <c r="G36" s="24"/>
      <c r="H36" s="27"/>
    </row>
    <row r="37" spans="1:8" ht="15" customHeight="1" x14ac:dyDescent="0.25">
      <c r="A37" s="11" t="s">
        <v>229</v>
      </c>
      <c r="B37" s="51"/>
      <c r="C37" s="52"/>
      <c r="D37" s="52"/>
      <c r="E37" s="52"/>
      <c r="F37" s="20"/>
      <c r="G37" s="20"/>
      <c r="H37" s="28"/>
    </row>
    <row r="38" spans="1:8" ht="15" customHeight="1" x14ac:dyDescent="0.25">
      <c r="A38" s="11" t="s">
        <v>230</v>
      </c>
      <c r="B38" s="51"/>
      <c r="C38" s="52"/>
      <c r="D38" s="52"/>
      <c r="E38" s="52"/>
      <c r="F38" s="20"/>
      <c r="G38" s="20"/>
      <c r="H38" s="28"/>
    </row>
    <row r="39" spans="1:8" ht="15" customHeight="1" x14ac:dyDescent="0.25">
      <c r="A39" s="11" t="s">
        <v>231</v>
      </c>
      <c r="B39" s="51"/>
      <c r="C39" s="52"/>
      <c r="D39" s="52"/>
      <c r="E39" s="52"/>
      <c r="F39" s="20"/>
      <c r="G39" s="20"/>
      <c r="H39" s="28"/>
    </row>
    <row r="40" spans="1:8" ht="15" customHeight="1" x14ac:dyDescent="0.25">
      <c r="A40" s="11" t="s">
        <v>232</v>
      </c>
      <c r="B40" s="51"/>
      <c r="C40" s="52"/>
      <c r="D40" s="52"/>
      <c r="E40" s="52"/>
      <c r="F40" s="20"/>
      <c r="G40" s="20"/>
      <c r="H40" s="28"/>
    </row>
    <row r="41" spans="1:8" ht="15" customHeight="1" x14ac:dyDescent="0.25">
      <c r="A41" s="11" t="s">
        <v>233</v>
      </c>
      <c r="B41" s="51"/>
      <c r="C41" s="52"/>
      <c r="D41" s="52"/>
      <c r="E41" s="52"/>
      <c r="F41" s="20"/>
      <c r="G41" s="20"/>
      <c r="H41" s="28"/>
    </row>
    <row r="42" spans="1:8" ht="15" customHeight="1" x14ac:dyDescent="0.25">
      <c r="A42" s="11" t="s">
        <v>234</v>
      </c>
      <c r="B42" s="51"/>
      <c r="C42" s="52"/>
      <c r="D42" s="52"/>
      <c r="E42" s="52"/>
      <c r="F42" s="20"/>
      <c r="G42" s="20"/>
      <c r="H42" s="28"/>
    </row>
    <row r="43" spans="1:8" ht="15" customHeight="1" x14ac:dyDescent="0.25">
      <c r="A43" s="21" t="s">
        <v>235</v>
      </c>
      <c r="B43" s="35"/>
      <c r="C43" s="48"/>
      <c r="D43" s="49"/>
      <c r="E43" s="49"/>
      <c r="F43" s="24"/>
      <c r="G43" s="24"/>
      <c r="H43" s="27"/>
    </row>
    <row r="44" spans="1:8" ht="15" customHeight="1" x14ac:dyDescent="0.25">
      <c r="A44" s="11" t="s">
        <v>236</v>
      </c>
      <c r="B44" s="51"/>
      <c r="C44" s="52"/>
      <c r="D44" s="52"/>
      <c r="E44" s="52"/>
      <c r="F44" s="20"/>
      <c r="G44" s="20">
        <v>1</v>
      </c>
      <c r="H44" s="28"/>
    </row>
    <row r="45" spans="1:8" ht="15" customHeight="1" x14ac:dyDescent="0.25">
      <c r="A45" s="21" t="s">
        <v>237</v>
      </c>
      <c r="B45" s="32"/>
      <c r="C45" s="48"/>
      <c r="D45" s="49"/>
      <c r="E45" s="49"/>
      <c r="F45" s="24"/>
      <c r="G45" s="24"/>
      <c r="H45" s="27"/>
    </row>
    <row r="46" spans="1:8" ht="15" customHeight="1" x14ac:dyDescent="0.25">
      <c r="A46" s="11" t="s">
        <v>238</v>
      </c>
      <c r="B46" s="51"/>
      <c r="C46" s="52"/>
      <c r="D46" s="52"/>
      <c r="E46" s="52"/>
      <c r="F46" s="20">
        <v>1</v>
      </c>
      <c r="G46" s="20"/>
      <c r="H46" s="28"/>
    </row>
    <row r="47" spans="1:8" ht="15" customHeight="1" x14ac:dyDescent="0.25">
      <c r="A47" s="11" t="s">
        <v>239</v>
      </c>
      <c r="B47" s="51"/>
      <c r="C47" s="52"/>
      <c r="D47" s="52">
        <v>1</v>
      </c>
      <c r="E47" s="52"/>
      <c r="F47" s="20"/>
      <c r="G47" s="20"/>
      <c r="H47" s="28"/>
    </row>
    <row r="48" spans="1:8" ht="15" customHeight="1" x14ac:dyDescent="0.25">
      <c r="A48" s="11" t="s">
        <v>240</v>
      </c>
      <c r="B48" s="51"/>
      <c r="C48" s="52">
        <v>3</v>
      </c>
      <c r="D48" s="52"/>
      <c r="E48" s="52"/>
      <c r="F48" s="20"/>
      <c r="G48" s="20"/>
      <c r="H48" s="28"/>
    </row>
    <row r="49" spans="1:8" ht="15" customHeight="1" x14ac:dyDescent="0.25">
      <c r="A49" s="11" t="s">
        <v>241</v>
      </c>
      <c r="B49" s="51"/>
      <c r="C49" s="52">
        <v>3</v>
      </c>
      <c r="D49" s="52"/>
      <c r="E49" s="52"/>
      <c r="F49" s="20"/>
      <c r="G49" s="20"/>
      <c r="H49" s="28"/>
    </row>
    <row r="50" spans="1:8" ht="15" customHeight="1" x14ac:dyDescent="0.25">
      <c r="A50" s="11" t="s">
        <v>242</v>
      </c>
      <c r="B50" s="51"/>
      <c r="C50" s="52"/>
      <c r="D50" s="52"/>
      <c r="E50" s="52"/>
      <c r="F50" s="20">
        <v>2</v>
      </c>
      <c r="G50" s="20"/>
      <c r="H50" s="28"/>
    </row>
    <row r="51" spans="1:8" ht="15" customHeight="1" x14ac:dyDescent="0.25">
      <c r="A51" s="11" t="s">
        <v>243</v>
      </c>
      <c r="B51" s="51"/>
      <c r="C51" s="52"/>
      <c r="D51" s="52"/>
      <c r="E51" s="52"/>
      <c r="F51" s="20"/>
      <c r="G51" s="20">
        <v>1</v>
      </c>
      <c r="H51" s="28"/>
    </row>
    <row r="52" spans="1:8" ht="15" customHeight="1" x14ac:dyDescent="0.25">
      <c r="A52" s="21" t="s">
        <v>244</v>
      </c>
      <c r="B52" s="35"/>
      <c r="C52" s="48"/>
      <c r="D52" s="49"/>
      <c r="E52" s="49"/>
      <c r="F52" s="24"/>
      <c r="G52" s="24"/>
      <c r="H52" s="27"/>
    </row>
    <row r="53" spans="1:8" ht="15" customHeight="1" x14ac:dyDescent="0.25">
      <c r="A53" s="11" t="s">
        <v>245</v>
      </c>
      <c r="B53" s="51"/>
      <c r="C53" s="52">
        <v>3</v>
      </c>
      <c r="D53" s="52"/>
      <c r="E53" s="52"/>
      <c r="F53" s="20"/>
      <c r="G53" s="20"/>
      <c r="H53" s="28"/>
    </row>
    <row r="54" spans="1:8" ht="15" customHeight="1" x14ac:dyDescent="0.25">
      <c r="A54" s="11" t="s">
        <v>246</v>
      </c>
      <c r="B54" s="51"/>
      <c r="C54" s="52">
        <v>10</v>
      </c>
      <c r="D54" s="52"/>
      <c r="E54" s="52"/>
      <c r="F54" s="20">
        <v>2</v>
      </c>
      <c r="G54" s="20"/>
      <c r="H54" s="28"/>
    </row>
    <row r="55" spans="1:8" ht="15" customHeight="1" x14ac:dyDescent="0.25">
      <c r="A55" s="11" t="s">
        <v>247</v>
      </c>
      <c r="B55" s="51"/>
      <c r="C55" s="52">
        <v>6</v>
      </c>
      <c r="D55" s="52"/>
      <c r="E55" s="52"/>
      <c r="F55" s="20"/>
      <c r="G55" s="20"/>
      <c r="H55" s="28"/>
    </row>
    <row r="56" spans="1:8" ht="15" customHeight="1" x14ac:dyDescent="0.25">
      <c r="A56" s="11" t="s">
        <v>248</v>
      </c>
      <c r="B56" s="51"/>
      <c r="C56" s="52"/>
      <c r="D56" s="52"/>
      <c r="E56" s="52"/>
      <c r="F56" s="20"/>
      <c r="G56" s="20"/>
      <c r="H56" s="28"/>
    </row>
    <row r="57" spans="1:8" ht="15" customHeight="1" x14ac:dyDescent="0.25">
      <c r="A57" s="11" t="s">
        <v>249</v>
      </c>
      <c r="B57" s="51"/>
      <c r="C57" s="52"/>
      <c r="D57" s="52"/>
      <c r="E57" s="52"/>
      <c r="F57" s="20"/>
      <c r="G57" s="20"/>
      <c r="H57" s="28"/>
    </row>
    <row r="58" spans="1:8" ht="15" customHeight="1" x14ac:dyDescent="0.25">
      <c r="A58" s="11" t="s">
        <v>250</v>
      </c>
      <c r="B58" s="51"/>
      <c r="C58" s="52"/>
      <c r="D58" s="52"/>
      <c r="E58" s="52"/>
      <c r="F58" s="20"/>
      <c r="G58" s="20"/>
      <c r="H58" s="28"/>
    </row>
    <row r="59" spans="1:8" ht="15" customHeight="1" x14ac:dyDescent="0.25">
      <c r="A59" s="16"/>
      <c r="B59" s="51"/>
      <c r="C59" s="52"/>
      <c r="D59" s="52"/>
      <c r="E59" s="52"/>
      <c r="F59" s="20"/>
      <c r="G59" s="20"/>
      <c r="H59" s="28"/>
    </row>
    <row r="60" spans="1:8" ht="15" customHeight="1" x14ac:dyDescent="0.25">
      <c r="A60" s="21" t="s">
        <v>251</v>
      </c>
      <c r="B60" s="35"/>
      <c r="C60" s="48"/>
      <c r="D60" s="49"/>
      <c r="E60" s="49"/>
      <c r="F60" s="24"/>
      <c r="G60" s="24"/>
      <c r="H60" s="27"/>
    </row>
    <row r="61" spans="1:8" ht="15" customHeight="1" x14ac:dyDescent="0.25">
      <c r="A61" s="11" t="s">
        <v>252</v>
      </c>
      <c r="B61" s="51"/>
      <c r="C61" s="52"/>
      <c r="D61" s="52"/>
      <c r="E61" s="52"/>
      <c r="F61" s="20"/>
      <c r="G61" s="20"/>
      <c r="H61" s="28"/>
    </row>
    <row r="62" spans="1:8" ht="15" customHeight="1" x14ac:dyDescent="0.25">
      <c r="A62" s="11" t="s">
        <v>253</v>
      </c>
      <c r="B62" s="51"/>
      <c r="C62" s="52"/>
      <c r="D62" s="52"/>
      <c r="E62" s="52"/>
      <c r="F62" s="20"/>
      <c r="G62" s="20"/>
      <c r="H62" s="28"/>
    </row>
    <row r="63" spans="1:8" ht="15" customHeight="1" x14ac:dyDescent="0.25">
      <c r="A63" s="11" t="s">
        <v>254</v>
      </c>
      <c r="B63" s="51"/>
      <c r="C63" s="52"/>
      <c r="D63" s="52">
        <v>1</v>
      </c>
      <c r="E63" s="52"/>
      <c r="F63" s="20"/>
      <c r="G63" s="20">
        <v>1</v>
      </c>
      <c r="H63" s="28">
        <v>1</v>
      </c>
    </row>
    <row r="64" spans="1:8" ht="15" customHeight="1" x14ac:dyDescent="0.25">
      <c r="A64" s="11" t="s">
        <v>255</v>
      </c>
      <c r="B64" s="51"/>
      <c r="C64" s="52"/>
      <c r="D64" s="52"/>
      <c r="E64" s="52"/>
      <c r="F64" s="20"/>
      <c r="G64" s="20"/>
      <c r="H64" s="28"/>
    </row>
    <row r="65" spans="1:8" ht="15" customHeight="1" x14ac:dyDescent="0.25">
      <c r="A65" s="11" t="s">
        <v>256</v>
      </c>
      <c r="B65" s="51"/>
      <c r="C65" s="52"/>
      <c r="D65" s="52"/>
      <c r="E65" s="52">
        <v>7</v>
      </c>
      <c r="F65" s="20"/>
      <c r="G65" s="20"/>
      <c r="H65" s="28"/>
    </row>
    <row r="66" spans="1:8" ht="15" customHeight="1" x14ac:dyDescent="0.25">
      <c r="A66" s="11" t="s">
        <v>257</v>
      </c>
      <c r="B66" s="51"/>
      <c r="C66" s="52">
        <v>1</v>
      </c>
      <c r="D66" s="52"/>
      <c r="E66" s="52"/>
      <c r="F66" s="20"/>
      <c r="G66" s="20"/>
      <c r="H66" s="28"/>
    </row>
    <row r="67" spans="1:8" ht="15" customHeight="1" x14ac:dyDescent="0.25">
      <c r="A67" s="11" t="s">
        <v>258</v>
      </c>
      <c r="B67" s="51"/>
      <c r="C67" s="52">
        <v>1</v>
      </c>
      <c r="D67" s="52"/>
      <c r="E67" s="52"/>
      <c r="F67" s="20"/>
      <c r="G67" s="20"/>
      <c r="H67" s="28"/>
    </row>
    <row r="68" spans="1:8" ht="15" customHeight="1" x14ac:dyDescent="0.25">
      <c r="A68" s="11" t="s">
        <v>259</v>
      </c>
      <c r="B68" s="51"/>
      <c r="C68" s="52"/>
      <c r="D68" s="52"/>
      <c r="E68" s="52"/>
      <c r="F68" s="20"/>
      <c r="G68" s="20"/>
      <c r="H68" s="28"/>
    </row>
    <row r="69" spans="1:8" ht="15" customHeight="1" x14ac:dyDescent="0.25">
      <c r="A69" s="11" t="s">
        <v>260</v>
      </c>
      <c r="B69" s="51"/>
      <c r="C69" s="52">
        <v>1</v>
      </c>
      <c r="D69" s="52"/>
      <c r="E69" s="52">
        <v>2</v>
      </c>
      <c r="F69" s="20"/>
      <c r="G69" s="20"/>
      <c r="H69" s="28"/>
    </row>
    <row r="70" spans="1:8" ht="15" customHeight="1" x14ac:dyDescent="0.25">
      <c r="A70" s="11" t="s">
        <v>261</v>
      </c>
      <c r="B70" s="51"/>
      <c r="C70" s="52">
        <v>4</v>
      </c>
      <c r="D70" s="52"/>
      <c r="E70" s="52"/>
      <c r="F70" s="20"/>
      <c r="G70" s="20"/>
      <c r="H70" s="28"/>
    </row>
    <row r="71" spans="1:8" ht="15" customHeight="1" x14ac:dyDescent="0.25">
      <c r="A71" s="11" t="s">
        <v>262</v>
      </c>
      <c r="B71" s="51"/>
      <c r="C71" s="52"/>
      <c r="D71" s="52"/>
      <c r="E71" s="52"/>
      <c r="F71" s="20"/>
      <c r="G71" s="20"/>
      <c r="H71" s="28"/>
    </row>
    <row r="72" spans="1:8" ht="15" customHeight="1" x14ac:dyDescent="0.25">
      <c r="A72" s="11" t="s">
        <v>263</v>
      </c>
      <c r="B72" s="51"/>
      <c r="C72" s="52">
        <v>1</v>
      </c>
      <c r="D72" s="52"/>
      <c r="E72" s="52"/>
      <c r="F72" s="20"/>
      <c r="G72" s="20"/>
      <c r="H72" s="28"/>
    </row>
    <row r="73" spans="1:8" ht="15" customHeight="1" x14ac:dyDescent="0.25">
      <c r="A73" s="11" t="s">
        <v>264</v>
      </c>
      <c r="B73" s="51"/>
      <c r="C73" s="52"/>
      <c r="D73" s="52"/>
      <c r="E73" s="52"/>
      <c r="F73" s="20"/>
      <c r="G73" s="20"/>
      <c r="H73" s="28"/>
    </row>
    <row r="74" spans="1:8" ht="15" customHeight="1" x14ac:dyDescent="0.25">
      <c r="A74" s="16"/>
      <c r="B74" s="51"/>
      <c r="C74" s="52"/>
      <c r="D74" s="52"/>
      <c r="E74" s="52"/>
      <c r="F74" s="20"/>
      <c r="G74" s="20"/>
      <c r="H74" s="28"/>
    </row>
    <row r="75" spans="1:8" ht="15" customHeight="1" x14ac:dyDescent="0.25">
      <c r="A75" s="21" t="s">
        <v>266</v>
      </c>
      <c r="B75" s="35"/>
      <c r="C75" s="48"/>
      <c r="D75" s="49"/>
      <c r="E75" s="49"/>
      <c r="F75" s="24"/>
      <c r="G75" s="24"/>
      <c r="H75" s="27"/>
    </row>
    <row r="76" spans="1:8" ht="15" customHeight="1" x14ac:dyDescent="0.25">
      <c r="A76" s="11" t="s">
        <v>267</v>
      </c>
      <c r="B76" s="51"/>
      <c r="C76" s="52">
        <v>8</v>
      </c>
      <c r="D76" s="52"/>
      <c r="E76" s="52">
        <v>10</v>
      </c>
      <c r="F76" s="20">
        <v>1</v>
      </c>
      <c r="G76" s="20">
        <v>9</v>
      </c>
      <c r="H76" s="28"/>
    </row>
    <row r="77" spans="1:8" ht="15" customHeight="1" x14ac:dyDescent="0.25">
      <c r="A77" s="11" t="s">
        <v>268</v>
      </c>
      <c r="B77" s="51"/>
      <c r="C77" s="52"/>
      <c r="D77" s="52"/>
      <c r="E77" s="52"/>
      <c r="F77" s="20"/>
      <c r="G77" s="20"/>
      <c r="H77" s="28"/>
    </row>
    <row r="78" spans="1:8" ht="15" customHeight="1" x14ac:dyDescent="0.25">
      <c r="A78" s="21" t="s">
        <v>269</v>
      </c>
      <c r="B78" s="50"/>
      <c r="C78" s="48"/>
      <c r="D78" s="49"/>
      <c r="E78" s="49"/>
      <c r="F78" s="24"/>
      <c r="G78" s="24"/>
      <c r="H78" s="27"/>
    </row>
    <row r="79" spans="1:8" ht="15" customHeight="1" x14ac:dyDescent="0.25">
      <c r="A79" s="21" t="s">
        <v>270</v>
      </c>
      <c r="B79" s="35"/>
      <c r="C79" s="48"/>
      <c r="D79" s="49"/>
      <c r="E79" s="49"/>
      <c r="F79" s="24"/>
      <c r="G79" s="24"/>
      <c r="H79" s="27"/>
    </row>
    <row r="80" spans="1:8" ht="15" customHeight="1" x14ac:dyDescent="0.25">
      <c r="A80" s="11" t="s">
        <v>271</v>
      </c>
      <c r="B80" s="51"/>
      <c r="C80" s="52"/>
      <c r="D80" s="52"/>
      <c r="E80" s="52">
        <v>27</v>
      </c>
      <c r="F80" s="20"/>
      <c r="G80" s="20">
        <v>1</v>
      </c>
      <c r="H80" s="28"/>
    </row>
    <row r="81" spans="1:8" ht="15" customHeight="1" x14ac:dyDescent="0.25">
      <c r="A81" s="11" t="s">
        <v>272</v>
      </c>
      <c r="B81" s="51"/>
      <c r="C81" s="52"/>
      <c r="D81" s="52"/>
      <c r="E81" s="52"/>
      <c r="F81" s="20"/>
      <c r="G81" s="20"/>
      <c r="H81" s="28"/>
    </row>
    <row r="82" spans="1:8" ht="15" customHeight="1" x14ac:dyDescent="0.25">
      <c r="A82" s="11" t="s">
        <v>273</v>
      </c>
      <c r="B82" s="51"/>
      <c r="C82" s="52"/>
      <c r="D82" s="52"/>
      <c r="E82" s="52"/>
      <c r="F82" s="20">
        <v>2</v>
      </c>
      <c r="G82" s="20"/>
      <c r="H82" s="28"/>
    </row>
    <row r="83" spans="1:8" ht="15" customHeight="1" x14ac:dyDescent="0.25">
      <c r="A83" s="11" t="s">
        <v>274</v>
      </c>
      <c r="B83" s="51"/>
      <c r="C83" s="52"/>
      <c r="D83" s="52"/>
      <c r="E83" s="52"/>
      <c r="F83" s="20"/>
      <c r="G83" s="20"/>
      <c r="H83" s="28"/>
    </row>
    <row r="84" spans="1:8" ht="15" customHeight="1" x14ac:dyDescent="0.25">
      <c r="A84" s="11" t="s">
        <v>275</v>
      </c>
      <c r="B84" s="51"/>
      <c r="C84" s="52"/>
      <c r="D84" s="52"/>
      <c r="E84" s="52"/>
      <c r="F84" s="20"/>
      <c r="G84" s="20"/>
      <c r="H84" s="28"/>
    </row>
    <row r="85" spans="1:8" ht="15" customHeight="1" x14ac:dyDescent="0.25">
      <c r="A85" s="21" t="s">
        <v>276</v>
      </c>
      <c r="B85" s="35"/>
      <c r="C85" s="53"/>
      <c r="D85" s="49"/>
      <c r="E85" s="49"/>
      <c r="F85" s="24"/>
      <c r="G85" s="24"/>
      <c r="H85" s="37"/>
    </row>
    <row r="86" spans="1:8" ht="15" customHeight="1" x14ac:dyDescent="0.25">
      <c r="A86" s="11" t="s">
        <v>277</v>
      </c>
      <c r="B86" s="51"/>
      <c r="C86" s="52"/>
      <c r="D86" s="52"/>
      <c r="E86" s="52"/>
      <c r="F86" s="20"/>
      <c r="G86" s="20"/>
      <c r="H86" s="28"/>
    </row>
    <row r="87" spans="1:8" ht="15" customHeight="1" x14ac:dyDescent="0.25">
      <c r="A87" s="11" t="s">
        <v>278</v>
      </c>
      <c r="B87" s="51"/>
      <c r="C87" s="52"/>
      <c r="D87" s="52"/>
      <c r="E87" s="52"/>
      <c r="F87" s="20"/>
      <c r="G87" s="20"/>
      <c r="H87" s="28"/>
    </row>
    <row r="88" spans="1:8" ht="15" customHeight="1" x14ac:dyDescent="0.25">
      <c r="A88" s="21" t="s">
        <v>279</v>
      </c>
      <c r="B88" s="32"/>
      <c r="C88" s="48"/>
      <c r="D88" s="49"/>
      <c r="E88" s="49"/>
      <c r="F88" s="24"/>
      <c r="G88" s="24"/>
      <c r="H88" s="27"/>
    </row>
    <row r="89" spans="1:8" ht="15" customHeight="1" x14ac:dyDescent="0.25">
      <c r="A89" s="11" t="s">
        <v>280</v>
      </c>
      <c r="B89" s="51"/>
      <c r="C89" s="52">
        <v>10</v>
      </c>
      <c r="D89" s="52">
        <v>3</v>
      </c>
      <c r="E89" s="52">
        <v>4</v>
      </c>
      <c r="F89" s="20"/>
      <c r="G89" s="20">
        <v>8</v>
      </c>
      <c r="H89" s="28"/>
    </row>
    <row r="90" spans="1:8" ht="15" customHeight="1" x14ac:dyDescent="0.25">
      <c r="A90" s="21" t="s">
        <v>281</v>
      </c>
      <c r="B90" s="35"/>
      <c r="C90" s="48"/>
      <c r="D90" s="49"/>
      <c r="E90" s="49"/>
      <c r="F90" s="24"/>
      <c r="G90" s="24"/>
      <c r="H90" s="27"/>
    </row>
    <row r="91" spans="1:8" ht="15" customHeight="1" x14ac:dyDescent="0.25">
      <c r="A91" s="10" t="s">
        <v>282</v>
      </c>
      <c r="B91" s="51"/>
      <c r="C91" s="52">
        <v>14</v>
      </c>
      <c r="D91" s="52">
        <v>1</v>
      </c>
      <c r="E91" s="52">
        <v>6</v>
      </c>
      <c r="F91" s="20">
        <v>3</v>
      </c>
      <c r="G91" s="20">
        <v>4</v>
      </c>
      <c r="H91" s="28">
        <v>14</v>
      </c>
    </row>
    <row r="92" spans="1:8" ht="15" customHeight="1" x14ac:dyDescent="0.25">
      <c r="A92" s="10" t="s">
        <v>283</v>
      </c>
      <c r="B92" s="51"/>
      <c r="C92" s="52"/>
      <c r="D92" s="52"/>
      <c r="E92" s="52"/>
      <c r="F92" s="20"/>
      <c r="G92" s="20"/>
      <c r="H92" s="28"/>
    </row>
    <row r="93" spans="1:8" ht="15" customHeight="1" x14ac:dyDescent="0.25">
      <c r="A93" s="11" t="s">
        <v>284</v>
      </c>
      <c r="B93" s="51"/>
      <c r="C93" s="52">
        <v>4</v>
      </c>
      <c r="D93" s="52"/>
      <c r="E93" s="52"/>
      <c r="F93" s="20"/>
      <c r="G93" s="20"/>
      <c r="H93" s="28">
        <v>1</v>
      </c>
    </row>
    <row r="94" spans="1:8" ht="15" customHeight="1" x14ac:dyDescent="0.25">
      <c r="A94" s="11" t="s">
        <v>285</v>
      </c>
      <c r="B94" s="51"/>
      <c r="C94" s="52"/>
      <c r="D94" s="52"/>
      <c r="E94" s="52"/>
      <c r="F94" s="20"/>
      <c r="G94" s="20"/>
      <c r="H94" s="28"/>
    </row>
    <row r="95" spans="1:8" ht="15" customHeight="1" x14ac:dyDescent="0.25">
      <c r="A95" s="11" t="s">
        <v>286</v>
      </c>
      <c r="B95" s="51"/>
      <c r="C95" s="20"/>
      <c r="D95" s="52"/>
      <c r="E95" s="52"/>
      <c r="F95" s="20"/>
      <c r="G95" s="20"/>
      <c r="H95" s="28"/>
    </row>
    <row r="96" spans="1:8" ht="15" customHeight="1" x14ac:dyDescent="0.25">
      <c r="A96" s="11" t="s">
        <v>287</v>
      </c>
      <c r="B96" s="51"/>
      <c r="C96" s="52"/>
      <c r="D96" s="52"/>
      <c r="E96" s="52"/>
      <c r="F96" s="20"/>
      <c r="G96" s="20"/>
      <c r="H96" s="28"/>
    </row>
    <row r="97" spans="1:7" x14ac:dyDescent="0.25">
      <c r="A97" s="39" t="s">
        <v>289</v>
      </c>
      <c r="G97" s="6">
        <v>2</v>
      </c>
    </row>
    <row r="98" spans="1:7" x14ac:dyDescent="0.25">
      <c r="A98" s="39" t="s">
        <v>290</v>
      </c>
      <c r="F98" s="6">
        <v>1</v>
      </c>
    </row>
    <row r="99" spans="1:7" x14ac:dyDescent="0.25">
      <c r="C99" s="6" t="s">
        <v>292</v>
      </c>
    </row>
  </sheetData>
  <autoFilter ref="A1:H99" xr:uid="{991780F3-3D73-4283-8376-5EA403CDD8C3}">
    <filterColumn colId="0" showButton="0"/>
    <filterColumn colId="1" showButton="0"/>
  </autoFilter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D9C4-0368-422A-B9AE-6FDCB5D43856}">
  <sheetPr>
    <tabColor theme="5" tint="0.39997558519241921"/>
  </sheetPr>
  <dimension ref="A1:H25"/>
  <sheetViews>
    <sheetView zoomScale="110" zoomScaleNormal="110" workbookViewId="0">
      <pane ySplit="1" topLeftCell="A3" activePane="bottomLeft" state="frozen"/>
      <selection activeCell="A2" sqref="A2"/>
      <selection pane="bottomLeft" sqref="A1:F25"/>
    </sheetView>
  </sheetViews>
  <sheetFormatPr defaultRowHeight="14.4" x14ac:dyDescent="0.3"/>
  <cols>
    <col min="1" max="1" width="8.5546875" bestFit="1" customWidth="1"/>
    <col min="2" max="2" width="21.109375" bestFit="1" customWidth="1"/>
    <col min="3" max="3" width="15.44140625" customWidth="1"/>
    <col min="4" max="4" width="19.33203125" customWidth="1"/>
    <col min="5" max="5" width="8.5546875" bestFit="1" customWidth="1"/>
  </cols>
  <sheetData>
    <row r="1" spans="1:8" x14ac:dyDescent="0.3">
      <c r="A1" s="4" t="s">
        <v>419</v>
      </c>
      <c r="B1" s="4" t="s">
        <v>160</v>
      </c>
      <c r="C1" s="4" t="s">
        <v>161</v>
      </c>
      <c r="D1" s="4" t="s">
        <v>410</v>
      </c>
      <c r="E1" s="4" t="s">
        <v>404</v>
      </c>
      <c r="F1" s="4" t="s">
        <v>418</v>
      </c>
      <c r="G1" s="4" t="s">
        <v>162</v>
      </c>
      <c r="H1" s="4" t="s">
        <v>171</v>
      </c>
    </row>
    <row r="2" spans="1:8" x14ac:dyDescent="0.3">
      <c r="A2" t="s">
        <v>162</v>
      </c>
      <c r="B2" t="s">
        <v>163</v>
      </c>
      <c r="C2">
        <v>108</v>
      </c>
      <c r="D2" t="s">
        <v>401</v>
      </c>
      <c r="E2" t="s">
        <v>405</v>
      </c>
      <c r="G2">
        <v>1</v>
      </c>
      <c r="H2">
        <v>2</v>
      </c>
    </row>
    <row r="3" spans="1:8" x14ac:dyDescent="0.3">
      <c r="A3" t="s">
        <v>162</v>
      </c>
      <c r="B3" t="s">
        <v>164</v>
      </c>
      <c r="C3">
        <v>1</v>
      </c>
      <c r="D3" t="s">
        <v>401</v>
      </c>
      <c r="E3" t="s">
        <v>406</v>
      </c>
      <c r="G3">
        <v>8</v>
      </c>
      <c r="H3">
        <v>16</v>
      </c>
    </row>
    <row r="4" spans="1:8" x14ac:dyDescent="0.3">
      <c r="A4" t="s">
        <v>162</v>
      </c>
      <c r="B4" t="s">
        <v>165</v>
      </c>
      <c r="C4">
        <v>17</v>
      </c>
      <c r="D4" t="s">
        <v>402</v>
      </c>
      <c r="E4" t="s">
        <v>406</v>
      </c>
    </row>
    <row r="5" spans="1:8" x14ac:dyDescent="0.3">
      <c r="A5" t="s">
        <v>162</v>
      </c>
      <c r="B5" t="s">
        <v>166</v>
      </c>
      <c r="C5">
        <v>25</v>
      </c>
      <c r="D5" t="s">
        <v>401</v>
      </c>
      <c r="E5" t="s">
        <v>407</v>
      </c>
    </row>
    <row r="6" spans="1:8" x14ac:dyDescent="0.3">
      <c r="A6" t="s">
        <v>162</v>
      </c>
      <c r="B6" t="s">
        <v>167</v>
      </c>
      <c r="C6">
        <v>5</v>
      </c>
      <c r="D6" t="s">
        <v>402</v>
      </c>
      <c r="E6" t="s">
        <v>405</v>
      </c>
    </row>
    <row r="7" spans="1:8" x14ac:dyDescent="0.3">
      <c r="A7" t="s">
        <v>162</v>
      </c>
      <c r="B7" t="s">
        <v>168</v>
      </c>
      <c r="C7">
        <v>2</v>
      </c>
      <c r="D7" t="s">
        <v>401</v>
      </c>
      <c r="E7" t="s">
        <v>406</v>
      </c>
    </row>
    <row r="8" spans="1:8" x14ac:dyDescent="0.3">
      <c r="A8" t="s">
        <v>162</v>
      </c>
      <c r="B8" t="s">
        <v>169</v>
      </c>
      <c r="C8">
        <v>1</v>
      </c>
      <c r="D8" t="s">
        <v>401</v>
      </c>
      <c r="E8" t="s">
        <v>405</v>
      </c>
    </row>
    <row r="9" spans="1:8" x14ac:dyDescent="0.3">
      <c r="A9" t="s">
        <v>162</v>
      </c>
      <c r="B9" t="s">
        <v>170</v>
      </c>
      <c r="C9">
        <v>1</v>
      </c>
      <c r="D9" t="s">
        <v>403</v>
      </c>
      <c r="E9" t="s">
        <v>406</v>
      </c>
    </row>
    <row r="10" spans="1:8" x14ac:dyDescent="0.3">
      <c r="A10" t="s">
        <v>171</v>
      </c>
      <c r="B10" t="s">
        <v>165</v>
      </c>
      <c r="C10">
        <v>1</v>
      </c>
      <c r="D10" t="s">
        <v>402</v>
      </c>
      <c r="E10" t="s">
        <v>406</v>
      </c>
    </row>
    <row r="11" spans="1:8" x14ac:dyDescent="0.3">
      <c r="A11" t="s">
        <v>171</v>
      </c>
      <c r="B11" t="s">
        <v>166</v>
      </c>
      <c r="C11">
        <v>30</v>
      </c>
      <c r="D11" t="s">
        <v>401</v>
      </c>
      <c r="E11" t="s">
        <v>407</v>
      </c>
      <c r="F11" t="s">
        <v>408</v>
      </c>
    </row>
    <row r="12" spans="1:8" x14ac:dyDescent="0.3">
      <c r="A12" t="s">
        <v>171</v>
      </c>
      <c r="B12" t="s">
        <v>163</v>
      </c>
      <c r="C12">
        <v>67</v>
      </c>
      <c r="D12" t="s">
        <v>401</v>
      </c>
      <c r="E12" t="s">
        <v>405</v>
      </c>
    </row>
    <row r="13" spans="1:8" x14ac:dyDescent="0.3">
      <c r="A13" t="s">
        <v>171</v>
      </c>
      <c r="B13" t="s">
        <v>164</v>
      </c>
      <c r="C13">
        <v>13</v>
      </c>
      <c r="D13" t="s">
        <v>401</v>
      </c>
      <c r="E13" t="s">
        <v>406</v>
      </c>
    </row>
    <row r="14" spans="1:8" x14ac:dyDescent="0.3">
      <c r="A14" t="s">
        <v>171</v>
      </c>
      <c r="B14" t="s">
        <v>167</v>
      </c>
      <c r="C14">
        <v>3</v>
      </c>
      <c r="D14" t="s">
        <v>402</v>
      </c>
      <c r="E14" t="s">
        <v>405</v>
      </c>
    </row>
    <row r="15" spans="1:8" x14ac:dyDescent="0.3">
      <c r="A15" t="s">
        <v>171</v>
      </c>
      <c r="B15" t="s">
        <v>172</v>
      </c>
      <c r="C15">
        <v>3</v>
      </c>
      <c r="D15" t="s">
        <v>403</v>
      </c>
      <c r="E15" t="s">
        <v>406</v>
      </c>
    </row>
    <row r="16" spans="1:8" x14ac:dyDescent="0.3">
      <c r="A16" t="s">
        <v>171</v>
      </c>
      <c r="B16" t="s">
        <v>173</v>
      </c>
      <c r="C16">
        <v>1</v>
      </c>
      <c r="D16" t="s">
        <v>403</v>
      </c>
      <c r="E16" t="s">
        <v>405</v>
      </c>
    </row>
    <row r="17" spans="1:6" x14ac:dyDescent="0.3">
      <c r="A17" t="s">
        <v>171</v>
      </c>
      <c r="B17" t="s">
        <v>174</v>
      </c>
      <c r="C17">
        <v>1</v>
      </c>
      <c r="D17" t="s">
        <v>403</v>
      </c>
      <c r="E17" t="s">
        <v>406</v>
      </c>
      <c r="F17" t="s">
        <v>409</v>
      </c>
    </row>
    <row r="18" spans="1:6" x14ac:dyDescent="0.3">
      <c r="A18" t="s">
        <v>171</v>
      </c>
      <c r="B18" t="s">
        <v>168</v>
      </c>
      <c r="C18">
        <v>26</v>
      </c>
      <c r="D18" t="s">
        <v>401</v>
      </c>
      <c r="E18" t="s">
        <v>406</v>
      </c>
    </row>
    <row r="19" spans="1:6" x14ac:dyDescent="0.3">
      <c r="A19" t="s">
        <v>171</v>
      </c>
      <c r="B19" t="s">
        <v>175</v>
      </c>
      <c r="C19">
        <v>1</v>
      </c>
      <c r="D19" t="s">
        <v>403</v>
      </c>
      <c r="E19" t="s">
        <v>406</v>
      </c>
    </row>
    <row r="20" spans="1:6" x14ac:dyDescent="0.3">
      <c r="A20" t="s">
        <v>171</v>
      </c>
      <c r="B20" t="s">
        <v>169</v>
      </c>
      <c r="C20">
        <v>4</v>
      </c>
      <c r="D20" t="s">
        <v>401</v>
      </c>
      <c r="E20" t="s">
        <v>405</v>
      </c>
    </row>
    <row r="21" spans="1:6" x14ac:dyDescent="0.3">
      <c r="A21" t="s">
        <v>171</v>
      </c>
      <c r="B21" t="s">
        <v>176</v>
      </c>
      <c r="C21">
        <v>2</v>
      </c>
      <c r="D21" t="s">
        <v>403</v>
      </c>
      <c r="E21" t="s">
        <v>406</v>
      </c>
    </row>
    <row r="22" spans="1:6" x14ac:dyDescent="0.3">
      <c r="A22" t="s">
        <v>171</v>
      </c>
      <c r="B22" t="s">
        <v>177</v>
      </c>
      <c r="C22">
        <v>1</v>
      </c>
      <c r="D22" t="s">
        <v>401</v>
      </c>
      <c r="E22" t="s">
        <v>406</v>
      </c>
    </row>
    <row r="23" spans="1:6" x14ac:dyDescent="0.3">
      <c r="A23" t="s">
        <v>171</v>
      </c>
      <c r="B23" t="s">
        <v>178</v>
      </c>
      <c r="C23">
        <v>1</v>
      </c>
      <c r="D23" t="s">
        <v>401</v>
      </c>
      <c r="E23" t="s">
        <v>407</v>
      </c>
    </row>
    <row r="24" spans="1:6" x14ac:dyDescent="0.3">
      <c r="A24" t="s">
        <v>171</v>
      </c>
      <c r="B24" t="s">
        <v>179</v>
      </c>
      <c r="C24">
        <v>1</v>
      </c>
      <c r="D24" t="s">
        <v>403</v>
      </c>
      <c r="E24" t="s">
        <v>406</v>
      </c>
      <c r="F24" t="s">
        <v>409</v>
      </c>
    </row>
    <row r="25" spans="1:6" x14ac:dyDescent="0.3">
      <c r="A25" t="s">
        <v>171</v>
      </c>
      <c r="B25" t="s">
        <v>180</v>
      </c>
      <c r="C25">
        <v>1</v>
      </c>
      <c r="D25" t="s">
        <v>403</v>
      </c>
      <c r="E25" t="s">
        <v>406</v>
      </c>
      <c r="F25" t="s">
        <v>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B619-4DA5-4009-8E32-E780A3CF345C}">
  <sheetPr>
    <tabColor theme="5"/>
  </sheetPr>
  <dimension ref="A1:C18"/>
  <sheetViews>
    <sheetView zoomScale="110" zoomScaleNormal="110" workbookViewId="0">
      <pane ySplit="1" topLeftCell="A2" activePane="bottomLeft" state="frozen"/>
      <selection activeCell="A2" sqref="A2"/>
      <selection pane="bottomLeft" activeCell="C18" sqref="A1:C18"/>
    </sheetView>
  </sheetViews>
  <sheetFormatPr defaultRowHeight="14.4" x14ac:dyDescent="0.3"/>
  <cols>
    <col min="1" max="1" width="21.109375" bestFit="1" customWidth="1"/>
    <col min="2" max="2" width="10.44140625" bestFit="1" customWidth="1"/>
    <col min="3" max="3" width="8.5546875" bestFit="1" customWidth="1"/>
  </cols>
  <sheetData>
    <row r="1" spans="1:3" x14ac:dyDescent="0.3">
      <c r="A1" s="4" t="s">
        <v>160</v>
      </c>
      <c r="B1" s="4" t="s">
        <v>181</v>
      </c>
      <c r="C1" s="4" t="s">
        <v>182</v>
      </c>
    </row>
    <row r="2" spans="1:3" x14ac:dyDescent="0.3">
      <c r="A2" s="5" t="s">
        <v>165</v>
      </c>
      <c r="B2">
        <v>19</v>
      </c>
      <c r="C2" t="s">
        <v>183</v>
      </c>
    </row>
    <row r="3" spans="1:3" x14ac:dyDescent="0.3">
      <c r="A3" s="5" t="s">
        <v>179</v>
      </c>
      <c r="B3">
        <v>8.5</v>
      </c>
      <c r="C3" t="s">
        <v>184</v>
      </c>
    </row>
    <row r="4" spans="1:3" x14ac:dyDescent="0.3">
      <c r="A4" s="5" t="s">
        <v>175</v>
      </c>
      <c r="B4">
        <v>7.5</v>
      </c>
      <c r="C4" t="s">
        <v>184</v>
      </c>
    </row>
    <row r="5" spans="1:3" x14ac:dyDescent="0.3">
      <c r="A5" s="5" t="s">
        <v>180</v>
      </c>
      <c r="B5">
        <v>8</v>
      </c>
      <c r="C5" t="s">
        <v>184</v>
      </c>
    </row>
    <row r="6" spans="1:3" x14ac:dyDescent="0.3">
      <c r="A6" s="5" t="s">
        <v>176</v>
      </c>
      <c r="B6">
        <v>3.5</v>
      </c>
      <c r="C6" t="s">
        <v>184</v>
      </c>
    </row>
    <row r="7" spans="1:3" x14ac:dyDescent="0.3">
      <c r="A7" s="5" t="s">
        <v>177</v>
      </c>
      <c r="B7">
        <v>2.5</v>
      </c>
      <c r="C7" t="s">
        <v>185</v>
      </c>
    </row>
    <row r="8" spans="1:3" x14ac:dyDescent="0.3">
      <c r="A8" s="5" t="s">
        <v>178</v>
      </c>
      <c r="B8">
        <v>3</v>
      </c>
      <c r="C8" t="s">
        <v>185</v>
      </c>
    </row>
    <row r="9" spans="1:3" x14ac:dyDescent="0.3">
      <c r="A9" s="5" t="s">
        <v>170</v>
      </c>
      <c r="B9">
        <v>3</v>
      </c>
      <c r="C9" t="s">
        <v>183</v>
      </c>
    </row>
    <row r="10" spans="1:3" x14ac:dyDescent="0.3">
      <c r="A10" s="5" t="s">
        <v>173</v>
      </c>
      <c r="B10">
        <v>6</v>
      </c>
      <c r="C10" t="s">
        <v>185</v>
      </c>
    </row>
    <row r="11" spans="1:3" x14ac:dyDescent="0.3">
      <c r="A11" s="5" t="s">
        <v>164</v>
      </c>
      <c r="B11">
        <v>7</v>
      </c>
      <c r="C11" t="s">
        <v>184</v>
      </c>
    </row>
    <row r="12" spans="1:3" x14ac:dyDescent="0.3">
      <c r="A12" s="5" t="s">
        <v>163</v>
      </c>
      <c r="B12">
        <v>11.5</v>
      </c>
      <c r="C12" t="s">
        <v>184</v>
      </c>
    </row>
    <row r="13" spans="1:3" x14ac:dyDescent="0.3">
      <c r="A13" s="5" t="s">
        <v>167</v>
      </c>
      <c r="B13">
        <v>11.5</v>
      </c>
      <c r="C13" t="s">
        <v>184</v>
      </c>
    </row>
    <row r="14" spans="1:3" x14ac:dyDescent="0.3">
      <c r="A14" s="5" t="s">
        <v>172</v>
      </c>
      <c r="B14">
        <v>11</v>
      </c>
      <c r="C14" t="s">
        <v>184</v>
      </c>
    </row>
    <row r="15" spans="1:3" x14ac:dyDescent="0.3">
      <c r="A15" s="5" t="s">
        <v>174</v>
      </c>
      <c r="B15">
        <v>10.5</v>
      </c>
      <c r="C15" t="s">
        <v>185</v>
      </c>
    </row>
    <row r="16" spans="1:3" x14ac:dyDescent="0.3">
      <c r="A16" s="5" t="s">
        <v>166</v>
      </c>
      <c r="B16">
        <v>16</v>
      </c>
      <c r="C16" t="s">
        <v>183</v>
      </c>
    </row>
    <row r="17" spans="1:3" x14ac:dyDescent="0.3">
      <c r="A17" s="5" t="s">
        <v>168</v>
      </c>
      <c r="B17">
        <v>10</v>
      </c>
      <c r="C17" t="s">
        <v>185</v>
      </c>
    </row>
    <row r="18" spans="1:3" x14ac:dyDescent="0.3">
      <c r="A18" s="5" t="s">
        <v>169</v>
      </c>
      <c r="B18">
        <v>6</v>
      </c>
      <c r="C18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F145-32BC-4F62-B3A0-7982EA591F59}">
  <sheetPr>
    <tabColor rgb="FF7030A0"/>
  </sheetPr>
  <dimension ref="A1:B54"/>
  <sheetViews>
    <sheetView workbookViewId="0">
      <selection activeCell="D22" sqref="D22"/>
    </sheetView>
  </sheetViews>
  <sheetFormatPr defaultRowHeight="14.4" x14ac:dyDescent="0.3"/>
  <cols>
    <col min="1" max="1" width="24.5546875" style="62" bestFit="1" customWidth="1"/>
    <col min="2" max="2" width="25.6640625" customWidth="1"/>
  </cols>
  <sheetData>
    <row r="1" spans="1:2" x14ac:dyDescent="0.3">
      <c r="A1" s="60" t="s">
        <v>343</v>
      </c>
      <c r="B1" s="1" t="s">
        <v>344</v>
      </c>
    </row>
    <row r="2" spans="1:2" x14ac:dyDescent="0.3">
      <c r="A2" s="61"/>
    </row>
    <row r="3" spans="1:2" x14ac:dyDescent="0.3">
      <c r="A3" s="61" t="s">
        <v>345</v>
      </c>
      <c r="B3" t="s">
        <v>346</v>
      </c>
    </row>
    <row r="4" spans="1:2" x14ac:dyDescent="0.3">
      <c r="A4" s="61" t="s">
        <v>347</v>
      </c>
      <c r="B4" s="61" t="s">
        <v>345</v>
      </c>
    </row>
    <row r="5" spans="1:2" x14ac:dyDescent="0.3">
      <c r="A5" s="61" t="s">
        <v>348</v>
      </c>
      <c r="B5" s="61" t="s">
        <v>347</v>
      </c>
    </row>
    <row r="6" spans="1:2" x14ac:dyDescent="0.3">
      <c r="A6" s="61" t="s">
        <v>349</v>
      </c>
      <c r="B6" s="61" t="s">
        <v>350</v>
      </c>
    </row>
    <row r="7" spans="1:2" x14ac:dyDescent="0.3">
      <c r="A7" s="61" t="s">
        <v>351</v>
      </c>
      <c r="B7" s="61" t="s">
        <v>348</v>
      </c>
    </row>
    <row r="8" spans="1:2" x14ac:dyDescent="0.3">
      <c r="A8" s="61" t="s">
        <v>352</v>
      </c>
      <c r="B8" s="61" t="s">
        <v>353</v>
      </c>
    </row>
    <row r="9" spans="1:2" x14ac:dyDescent="0.3">
      <c r="A9" s="61" t="s">
        <v>354</v>
      </c>
      <c r="B9" s="61" t="s">
        <v>355</v>
      </c>
    </row>
    <row r="10" spans="1:2" x14ac:dyDescent="0.3">
      <c r="A10" s="61" t="s">
        <v>356</v>
      </c>
      <c r="B10" s="61" t="s">
        <v>354</v>
      </c>
    </row>
    <row r="11" spans="1:2" x14ac:dyDescent="0.3">
      <c r="A11" s="61" t="s">
        <v>357</v>
      </c>
      <c r="B11" s="61" t="s">
        <v>358</v>
      </c>
    </row>
    <row r="12" spans="1:2" x14ac:dyDescent="0.3">
      <c r="A12" s="61" t="s">
        <v>359</v>
      </c>
      <c r="B12" s="61" t="s">
        <v>360</v>
      </c>
    </row>
    <row r="13" spans="1:2" x14ac:dyDescent="0.3">
      <c r="A13" s="61" t="s">
        <v>361</v>
      </c>
      <c r="B13" s="61" t="s">
        <v>356</v>
      </c>
    </row>
    <row r="14" spans="1:2" x14ac:dyDescent="0.3">
      <c r="A14" s="61" t="s">
        <v>362</v>
      </c>
      <c r="B14" s="61" t="s">
        <v>363</v>
      </c>
    </row>
    <row r="15" spans="1:2" x14ac:dyDescent="0.3">
      <c r="A15" s="61" t="s">
        <v>364</v>
      </c>
      <c r="B15" s="61" t="s">
        <v>357</v>
      </c>
    </row>
    <row r="16" spans="1:2" x14ac:dyDescent="0.3">
      <c r="A16" s="61" t="s">
        <v>365</v>
      </c>
      <c r="B16" s="61" t="s">
        <v>366</v>
      </c>
    </row>
    <row r="17" spans="1:2" x14ac:dyDescent="0.3">
      <c r="A17" s="61" t="s">
        <v>367</v>
      </c>
      <c r="B17" s="61" t="s">
        <v>368</v>
      </c>
    </row>
    <row r="18" spans="1:2" x14ac:dyDescent="0.3">
      <c r="A18" s="61" t="s">
        <v>369</v>
      </c>
      <c r="B18" s="61" t="s">
        <v>370</v>
      </c>
    </row>
    <row r="19" spans="1:2" x14ac:dyDescent="0.3">
      <c r="A19" s="61" t="s">
        <v>371</v>
      </c>
      <c r="B19" s="61" t="s">
        <v>372</v>
      </c>
    </row>
    <row r="20" spans="1:2" x14ac:dyDescent="0.3">
      <c r="A20" s="61" t="s">
        <v>373</v>
      </c>
      <c r="B20" s="61" t="s">
        <v>374</v>
      </c>
    </row>
    <row r="21" spans="1:2" x14ac:dyDescent="0.3">
      <c r="A21" s="61" t="s">
        <v>375</v>
      </c>
      <c r="B21" s="61" t="s">
        <v>376</v>
      </c>
    </row>
    <row r="22" spans="1:2" x14ac:dyDescent="0.3">
      <c r="A22" s="61" t="s">
        <v>377</v>
      </c>
      <c r="B22" s="61" t="s">
        <v>361</v>
      </c>
    </row>
    <row r="23" spans="1:2" x14ac:dyDescent="0.3">
      <c r="A23" s="61" t="s">
        <v>378</v>
      </c>
      <c r="B23" s="61" t="s">
        <v>379</v>
      </c>
    </row>
    <row r="24" spans="1:2" x14ac:dyDescent="0.3">
      <c r="A24" s="61" t="s">
        <v>380</v>
      </c>
      <c r="B24" s="61" t="s">
        <v>381</v>
      </c>
    </row>
    <row r="25" spans="1:2" x14ac:dyDescent="0.3">
      <c r="A25" s="61" t="s">
        <v>382</v>
      </c>
      <c r="B25" s="61" t="s">
        <v>364</v>
      </c>
    </row>
    <row r="26" spans="1:2" x14ac:dyDescent="0.3">
      <c r="A26" s="61" t="s">
        <v>383</v>
      </c>
      <c r="B26" s="61" t="s">
        <v>384</v>
      </c>
    </row>
    <row r="27" spans="1:2" x14ac:dyDescent="0.3">
      <c r="A27" s="61" t="s">
        <v>385</v>
      </c>
      <c r="B27" s="61" t="s">
        <v>386</v>
      </c>
    </row>
    <row r="28" spans="1:2" x14ac:dyDescent="0.3">
      <c r="A28" s="61" t="s">
        <v>387</v>
      </c>
      <c r="B28" s="61" t="s">
        <v>365</v>
      </c>
    </row>
    <row r="29" spans="1:2" x14ac:dyDescent="0.3">
      <c r="B29" s="61" t="s">
        <v>388</v>
      </c>
    </row>
    <row r="30" spans="1:2" x14ac:dyDescent="0.3">
      <c r="B30" s="61" t="s">
        <v>367</v>
      </c>
    </row>
    <row r="31" spans="1:2" x14ac:dyDescent="0.3">
      <c r="B31" s="61" t="s">
        <v>389</v>
      </c>
    </row>
    <row r="32" spans="1:2" x14ac:dyDescent="0.3">
      <c r="B32" s="61" t="s">
        <v>390</v>
      </c>
    </row>
    <row r="33" spans="2:2" x14ac:dyDescent="0.3">
      <c r="B33" s="61" t="s">
        <v>391</v>
      </c>
    </row>
    <row r="34" spans="2:2" x14ac:dyDescent="0.3">
      <c r="B34" s="61" t="s">
        <v>369</v>
      </c>
    </row>
    <row r="35" spans="2:2" x14ac:dyDescent="0.3">
      <c r="B35" s="61" t="s">
        <v>392</v>
      </c>
    </row>
    <row r="36" spans="2:2" x14ac:dyDescent="0.3">
      <c r="B36" s="61" t="s">
        <v>371</v>
      </c>
    </row>
    <row r="37" spans="2:2" x14ac:dyDescent="0.3">
      <c r="B37" s="61" t="s">
        <v>393</v>
      </c>
    </row>
    <row r="38" spans="2:2" x14ac:dyDescent="0.3">
      <c r="B38" s="61" t="s">
        <v>378</v>
      </c>
    </row>
    <row r="39" spans="2:2" x14ac:dyDescent="0.3">
      <c r="B39" s="61" t="s">
        <v>394</v>
      </c>
    </row>
    <row r="40" spans="2:2" x14ac:dyDescent="0.3">
      <c r="B40" s="61" t="s">
        <v>395</v>
      </c>
    </row>
    <row r="41" spans="2:2" x14ac:dyDescent="0.3">
      <c r="B41" s="61" t="s">
        <v>396</v>
      </c>
    </row>
    <row r="42" spans="2:2" x14ac:dyDescent="0.3">
      <c r="B42" s="61" t="s">
        <v>387</v>
      </c>
    </row>
    <row r="43" spans="2:2" x14ac:dyDescent="0.3">
      <c r="B43" s="61"/>
    </row>
    <row r="44" spans="2:2" x14ac:dyDescent="0.3">
      <c r="B44" s="61"/>
    </row>
    <row r="45" spans="2:2" x14ac:dyDescent="0.3">
      <c r="B45" s="61"/>
    </row>
    <row r="46" spans="2:2" x14ac:dyDescent="0.3">
      <c r="B46" s="61"/>
    </row>
    <row r="47" spans="2:2" x14ac:dyDescent="0.3">
      <c r="B47" s="61"/>
    </row>
    <row r="48" spans="2:2" x14ac:dyDescent="0.3">
      <c r="B48" s="61"/>
    </row>
    <row r="49" spans="2:2" x14ac:dyDescent="0.3">
      <c r="B49" s="61"/>
    </row>
    <row r="50" spans="2:2" x14ac:dyDescent="0.3">
      <c r="B50" s="61"/>
    </row>
    <row r="51" spans="2:2" x14ac:dyDescent="0.3">
      <c r="B51" s="61"/>
    </row>
    <row r="52" spans="2:2" x14ac:dyDescent="0.3">
      <c r="B52" s="61"/>
    </row>
    <row r="53" spans="2:2" x14ac:dyDescent="0.3">
      <c r="B53" s="61"/>
    </row>
    <row r="54" spans="2:2" x14ac:dyDescent="0.3">
      <c r="B54" s="6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585F-E422-4784-B873-D72E5AE0BC5E}">
  <sheetPr>
    <tabColor rgb="FF92D050"/>
  </sheetPr>
  <dimension ref="A1:H128"/>
  <sheetViews>
    <sheetView topLeftCell="A36" zoomScale="46" zoomScaleNormal="46" workbookViewId="0">
      <selection activeCell="G1" sqref="G1:G128"/>
    </sheetView>
  </sheetViews>
  <sheetFormatPr defaultColWidth="29.44140625" defaultRowHeight="14.4" x14ac:dyDescent="0.3"/>
  <cols>
    <col min="1" max="1" width="6.109375" bestFit="1" customWidth="1"/>
    <col min="2" max="2" width="19.33203125" bestFit="1" customWidth="1"/>
    <col min="3" max="3" width="7.88671875" bestFit="1" customWidth="1"/>
    <col min="4" max="5" width="7.88671875" customWidth="1"/>
    <col min="6" max="6" width="25.554687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ht="15.6" x14ac:dyDescent="0.3">
      <c r="A2">
        <v>6</v>
      </c>
      <c r="B2" t="s">
        <v>8</v>
      </c>
      <c r="C2">
        <v>2</v>
      </c>
      <c r="D2">
        <v>50</v>
      </c>
      <c r="E2">
        <f>C2/D2*100</f>
        <v>4</v>
      </c>
      <c r="F2" s="1" t="s">
        <v>9</v>
      </c>
      <c r="G2" s="2" t="s">
        <v>10</v>
      </c>
    </row>
    <row r="3" spans="1:8" ht="15.6" x14ac:dyDescent="0.3">
      <c r="A3">
        <v>4</v>
      </c>
      <c r="B3" t="s">
        <v>8</v>
      </c>
      <c r="C3">
        <v>3</v>
      </c>
      <c r="D3">
        <v>20</v>
      </c>
      <c r="E3">
        <f t="shared" ref="E3:E66" si="0">C3/D3*100</f>
        <v>15</v>
      </c>
      <c r="F3" s="1" t="s">
        <v>9</v>
      </c>
      <c r="G3" s="2" t="s">
        <v>10</v>
      </c>
      <c r="H3" t="s">
        <v>11</v>
      </c>
    </row>
    <row r="4" spans="1:8" ht="15.6" x14ac:dyDescent="0.3">
      <c r="A4">
        <v>1</v>
      </c>
      <c r="B4" t="s">
        <v>8</v>
      </c>
      <c r="C4">
        <v>3</v>
      </c>
      <c r="D4">
        <v>50</v>
      </c>
      <c r="E4">
        <f t="shared" si="0"/>
        <v>6</v>
      </c>
      <c r="F4" s="1" t="s">
        <v>9</v>
      </c>
      <c r="G4" s="2" t="s">
        <v>10</v>
      </c>
      <c r="H4" t="s">
        <v>11</v>
      </c>
    </row>
    <row r="5" spans="1:8" ht="15.6" x14ac:dyDescent="0.3">
      <c r="A5">
        <v>3</v>
      </c>
      <c r="B5" t="s">
        <v>12</v>
      </c>
      <c r="C5">
        <v>14</v>
      </c>
      <c r="D5">
        <v>50</v>
      </c>
      <c r="E5">
        <f t="shared" si="0"/>
        <v>28.000000000000004</v>
      </c>
      <c r="F5" s="1" t="s">
        <v>13</v>
      </c>
      <c r="G5" s="2" t="s">
        <v>14</v>
      </c>
      <c r="H5" t="s">
        <v>15</v>
      </c>
    </row>
    <row r="6" spans="1:8" ht="15.6" x14ac:dyDescent="0.3">
      <c r="A6">
        <v>6</v>
      </c>
      <c r="B6" t="s">
        <v>12</v>
      </c>
      <c r="C6">
        <v>16</v>
      </c>
      <c r="D6">
        <v>50</v>
      </c>
      <c r="E6">
        <f t="shared" si="0"/>
        <v>32</v>
      </c>
      <c r="F6" s="1" t="s">
        <v>13</v>
      </c>
      <c r="G6" s="2" t="s">
        <v>14</v>
      </c>
      <c r="H6" t="s">
        <v>16</v>
      </c>
    </row>
    <row r="7" spans="1:8" ht="15.6" x14ac:dyDescent="0.3">
      <c r="A7">
        <v>2</v>
      </c>
      <c r="B7" t="s">
        <v>12</v>
      </c>
      <c r="C7">
        <v>32</v>
      </c>
      <c r="D7">
        <v>50</v>
      </c>
      <c r="E7" t="s">
        <v>202</v>
      </c>
      <c r="F7" s="1" t="s">
        <v>13</v>
      </c>
      <c r="G7" s="2" t="s">
        <v>14</v>
      </c>
      <c r="H7" t="s">
        <v>15</v>
      </c>
    </row>
    <row r="8" spans="1:8" ht="15.6" x14ac:dyDescent="0.3">
      <c r="A8">
        <v>5</v>
      </c>
      <c r="B8" t="s">
        <v>12</v>
      </c>
      <c r="C8">
        <v>25</v>
      </c>
      <c r="D8">
        <v>50</v>
      </c>
      <c r="E8">
        <f t="shared" si="0"/>
        <v>50</v>
      </c>
      <c r="F8" s="1" t="s">
        <v>13</v>
      </c>
      <c r="G8" s="2" t="s">
        <v>14</v>
      </c>
      <c r="H8" t="s">
        <v>15</v>
      </c>
    </row>
    <row r="9" spans="1:8" ht="15.6" x14ac:dyDescent="0.3">
      <c r="A9">
        <v>4</v>
      </c>
      <c r="B9" t="s">
        <v>12</v>
      </c>
      <c r="C9">
        <v>26</v>
      </c>
      <c r="D9">
        <v>50</v>
      </c>
      <c r="E9">
        <f t="shared" si="0"/>
        <v>52</v>
      </c>
      <c r="F9" s="1" t="s">
        <v>13</v>
      </c>
      <c r="G9" s="2" t="s">
        <v>14</v>
      </c>
      <c r="H9" t="s">
        <v>15</v>
      </c>
    </row>
    <row r="10" spans="1:8" ht="15.6" x14ac:dyDescent="0.3">
      <c r="A10">
        <v>1</v>
      </c>
      <c r="B10" t="s">
        <v>12</v>
      </c>
      <c r="C10">
        <v>11</v>
      </c>
      <c r="D10">
        <v>50</v>
      </c>
      <c r="E10">
        <f t="shared" si="0"/>
        <v>22</v>
      </c>
      <c r="F10" s="1" t="s">
        <v>13</v>
      </c>
      <c r="G10" s="2" t="s">
        <v>14</v>
      </c>
      <c r="H10" t="s">
        <v>16</v>
      </c>
    </row>
    <row r="11" spans="1:8" ht="15.6" x14ac:dyDescent="0.3">
      <c r="A11">
        <v>6</v>
      </c>
      <c r="B11" t="s">
        <v>12</v>
      </c>
      <c r="C11">
        <v>1</v>
      </c>
      <c r="D11">
        <v>50</v>
      </c>
      <c r="E11">
        <f t="shared" si="0"/>
        <v>2</v>
      </c>
      <c r="F11" s="1" t="s">
        <v>13</v>
      </c>
      <c r="G11" s="2" t="s">
        <v>17</v>
      </c>
    </row>
    <row r="12" spans="1:8" ht="15.6" x14ac:dyDescent="0.3">
      <c r="A12">
        <v>5</v>
      </c>
      <c r="B12" t="s">
        <v>8</v>
      </c>
      <c r="C12">
        <v>1</v>
      </c>
      <c r="D12">
        <v>50</v>
      </c>
      <c r="E12">
        <f t="shared" si="0"/>
        <v>2</v>
      </c>
      <c r="F12"/>
      <c r="G12" s="2" t="s">
        <v>17</v>
      </c>
    </row>
    <row r="13" spans="1:8" ht="15.6" x14ac:dyDescent="0.3">
      <c r="A13">
        <v>5</v>
      </c>
      <c r="B13" t="s">
        <v>8</v>
      </c>
      <c r="C13">
        <v>1</v>
      </c>
      <c r="D13">
        <v>50</v>
      </c>
      <c r="E13">
        <f t="shared" si="0"/>
        <v>2</v>
      </c>
      <c r="F13" s="1" t="s">
        <v>13</v>
      </c>
      <c r="G13" s="2" t="s">
        <v>18</v>
      </c>
      <c r="H13" t="s">
        <v>19</v>
      </c>
    </row>
    <row r="14" spans="1:8" ht="15.6" x14ac:dyDescent="0.3">
      <c r="A14">
        <v>1</v>
      </c>
      <c r="B14" t="s">
        <v>8</v>
      </c>
      <c r="C14">
        <v>6</v>
      </c>
      <c r="D14">
        <v>50</v>
      </c>
      <c r="E14">
        <f t="shared" si="0"/>
        <v>12</v>
      </c>
      <c r="F14" s="1" t="s">
        <v>13</v>
      </c>
      <c r="G14" s="2" t="s">
        <v>18</v>
      </c>
      <c r="H14" t="s">
        <v>19</v>
      </c>
    </row>
    <row r="15" spans="1:8" ht="15.6" x14ac:dyDescent="0.3">
      <c r="A15">
        <v>3</v>
      </c>
      <c r="B15" t="s">
        <v>8</v>
      </c>
      <c r="C15">
        <v>1</v>
      </c>
      <c r="D15">
        <v>50</v>
      </c>
      <c r="E15">
        <f t="shared" si="0"/>
        <v>2</v>
      </c>
      <c r="F15" s="1" t="s">
        <v>9</v>
      </c>
      <c r="G15" s="2" t="s">
        <v>20</v>
      </c>
      <c r="H15" t="s">
        <v>21</v>
      </c>
    </row>
    <row r="16" spans="1:8" ht="15.6" x14ac:dyDescent="0.3">
      <c r="A16">
        <v>6</v>
      </c>
      <c r="B16" t="s">
        <v>8</v>
      </c>
      <c r="C16">
        <v>1</v>
      </c>
      <c r="D16">
        <v>50</v>
      </c>
      <c r="E16">
        <f t="shared" si="0"/>
        <v>2</v>
      </c>
      <c r="F16" s="1" t="s">
        <v>9</v>
      </c>
      <c r="G16" s="2" t="s">
        <v>20</v>
      </c>
    </row>
    <row r="17" spans="1:8" ht="15.6" x14ac:dyDescent="0.3">
      <c r="A17">
        <v>5</v>
      </c>
      <c r="B17" t="s">
        <v>8</v>
      </c>
      <c r="C17">
        <v>2</v>
      </c>
      <c r="D17">
        <v>50</v>
      </c>
      <c r="E17">
        <f t="shared" si="0"/>
        <v>4</v>
      </c>
      <c r="F17" s="1" t="s">
        <v>9</v>
      </c>
      <c r="G17" s="2" t="s">
        <v>20</v>
      </c>
      <c r="H17" t="s">
        <v>21</v>
      </c>
    </row>
    <row r="18" spans="1:8" ht="15.6" x14ac:dyDescent="0.3">
      <c r="A18">
        <v>4</v>
      </c>
      <c r="B18" t="s">
        <v>12</v>
      </c>
      <c r="C18">
        <v>2</v>
      </c>
      <c r="D18">
        <v>50</v>
      </c>
      <c r="E18">
        <f t="shared" si="0"/>
        <v>4</v>
      </c>
      <c r="F18" s="1" t="s">
        <v>9</v>
      </c>
      <c r="G18" s="2" t="s">
        <v>20</v>
      </c>
      <c r="H18" t="s">
        <v>21</v>
      </c>
    </row>
    <row r="19" spans="1:8" ht="15.6" x14ac:dyDescent="0.3">
      <c r="A19">
        <v>1</v>
      </c>
      <c r="B19" t="s">
        <v>8</v>
      </c>
      <c r="C19">
        <v>3</v>
      </c>
      <c r="D19">
        <v>50</v>
      </c>
      <c r="E19">
        <f t="shared" si="0"/>
        <v>6</v>
      </c>
      <c r="F19" s="1" t="s">
        <v>9</v>
      </c>
      <c r="G19" s="2" t="s">
        <v>20</v>
      </c>
      <c r="H19" t="s">
        <v>21</v>
      </c>
    </row>
    <row r="20" spans="1:8" ht="15.6" x14ac:dyDescent="0.3">
      <c r="A20">
        <v>3</v>
      </c>
      <c r="B20" t="s">
        <v>8</v>
      </c>
      <c r="C20">
        <v>2</v>
      </c>
      <c r="D20">
        <v>50</v>
      </c>
      <c r="E20">
        <f t="shared" si="0"/>
        <v>4</v>
      </c>
      <c r="F20" s="1" t="s">
        <v>13</v>
      </c>
      <c r="G20" s="2" t="s">
        <v>22</v>
      </c>
      <c r="H20" t="s">
        <v>23</v>
      </c>
    </row>
    <row r="21" spans="1:8" ht="15.6" x14ac:dyDescent="0.3">
      <c r="A21">
        <v>6</v>
      </c>
      <c r="B21" t="s">
        <v>8</v>
      </c>
      <c r="C21">
        <v>1</v>
      </c>
      <c r="D21">
        <v>50</v>
      </c>
      <c r="E21">
        <f t="shared" si="0"/>
        <v>2</v>
      </c>
      <c r="F21" s="1" t="s">
        <v>13</v>
      </c>
      <c r="G21" s="2" t="s">
        <v>22</v>
      </c>
    </row>
    <row r="22" spans="1:8" ht="15.6" x14ac:dyDescent="0.3">
      <c r="A22">
        <v>4</v>
      </c>
      <c r="B22" t="s">
        <v>8</v>
      </c>
      <c r="C22">
        <v>2</v>
      </c>
      <c r="D22">
        <v>20</v>
      </c>
      <c r="E22">
        <f t="shared" si="0"/>
        <v>10</v>
      </c>
      <c r="F22" s="1" t="s">
        <v>13</v>
      </c>
      <c r="G22" s="2" t="s">
        <v>22</v>
      </c>
      <c r="H22" t="s">
        <v>23</v>
      </c>
    </row>
    <row r="23" spans="1:8" ht="15.6" x14ac:dyDescent="0.3">
      <c r="A23">
        <v>1</v>
      </c>
      <c r="B23" t="s">
        <v>8</v>
      </c>
      <c r="C23">
        <v>9</v>
      </c>
      <c r="D23">
        <v>50</v>
      </c>
      <c r="E23">
        <f t="shared" si="0"/>
        <v>18</v>
      </c>
      <c r="F23" s="1" t="s">
        <v>13</v>
      </c>
      <c r="G23" s="2" t="s">
        <v>22</v>
      </c>
      <c r="H23" t="s">
        <v>23</v>
      </c>
    </row>
    <row r="24" spans="1:8" ht="15.6" x14ac:dyDescent="0.3">
      <c r="A24">
        <v>3</v>
      </c>
      <c r="B24" t="s">
        <v>8</v>
      </c>
      <c r="C24">
        <v>3</v>
      </c>
      <c r="D24">
        <v>50</v>
      </c>
      <c r="E24">
        <f t="shared" si="0"/>
        <v>6</v>
      </c>
      <c r="F24" s="1" t="s">
        <v>13</v>
      </c>
      <c r="G24" s="2" t="s">
        <v>24</v>
      </c>
      <c r="H24" t="s">
        <v>25</v>
      </c>
    </row>
    <row r="25" spans="1:8" ht="15.6" x14ac:dyDescent="0.3">
      <c r="A25">
        <v>6</v>
      </c>
      <c r="B25" t="s">
        <v>8</v>
      </c>
      <c r="C25">
        <v>2</v>
      </c>
      <c r="D25">
        <v>50</v>
      </c>
      <c r="E25">
        <f t="shared" si="0"/>
        <v>4</v>
      </c>
      <c r="F25" s="1" t="s">
        <v>13</v>
      </c>
      <c r="G25" s="2" t="s">
        <v>24</v>
      </c>
    </row>
    <row r="26" spans="1:8" ht="15.6" x14ac:dyDescent="0.3">
      <c r="A26">
        <v>5</v>
      </c>
      <c r="B26" t="s">
        <v>8</v>
      </c>
      <c r="C26">
        <v>12</v>
      </c>
      <c r="D26">
        <v>50</v>
      </c>
      <c r="E26">
        <f t="shared" si="0"/>
        <v>24</v>
      </c>
      <c r="F26" s="1" t="s">
        <v>13</v>
      </c>
      <c r="G26" s="2" t="s">
        <v>24</v>
      </c>
      <c r="H26" t="s">
        <v>25</v>
      </c>
    </row>
    <row r="27" spans="1:8" ht="15.6" x14ac:dyDescent="0.3">
      <c r="A27">
        <v>4</v>
      </c>
      <c r="B27" t="s">
        <v>8</v>
      </c>
      <c r="C27">
        <v>13</v>
      </c>
      <c r="D27">
        <v>20</v>
      </c>
      <c r="E27">
        <f t="shared" si="0"/>
        <v>65</v>
      </c>
      <c r="F27" s="1" t="s">
        <v>13</v>
      </c>
      <c r="G27" s="2" t="s">
        <v>24</v>
      </c>
      <c r="H27" t="s">
        <v>25</v>
      </c>
    </row>
    <row r="28" spans="1:8" ht="15.6" x14ac:dyDescent="0.3">
      <c r="A28">
        <v>1</v>
      </c>
      <c r="B28" t="s">
        <v>8</v>
      </c>
      <c r="C28">
        <v>10</v>
      </c>
      <c r="D28">
        <v>50</v>
      </c>
      <c r="E28">
        <f t="shared" si="0"/>
        <v>20</v>
      </c>
      <c r="F28" s="1" t="s">
        <v>13</v>
      </c>
      <c r="G28" s="2" t="s">
        <v>24</v>
      </c>
      <c r="H28" t="s">
        <v>25</v>
      </c>
    </row>
    <row r="29" spans="1:8" ht="15.6" x14ac:dyDescent="0.3">
      <c r="A29">
        <v>3</v>
      </c>
      <c r="B29" t="s">
        <v>8</v>
      </c>
      <c r="C29">
        <v>1</v>
      </c>
      <c r="D29">
        <v>50</v>
      </c>
      <c r="E29">
        <f t="shared" si="0"/>
        <v>2</v>
      </c>
      <c r="F29" s="1" t="s">
        <v>13</v>
      </c>
      <c r="G29" s="2" t="s">
        <v>26</v>
      </c>
      <c r="H29" t="s">
        <v>27</v>
      </c>
    </row>
    <row r="30" spans="1:8" ht="15.6" x14ac:dyDescent="0.3">
      <c r="A30">
        <v>2</v>
      </c>
      <c r="B30" t="s">
        <v>8</v>
      </c>
      <c r="C30">
        <v>9</v>
      </c>
      <c r="D30">
        <v>50</v>
      </c>
      <c r="E30">
        <f t="shared" si="0"/>
        <v>18</v>
      </c>
      <c r="F30" s="1" t="s">
        <v>28</v>
      </c>
      <c r="G30" s="2" t="s">
        <v>29</v>
      </c>
    </row>
    <row r="31" spans="1:8" ht="15.6" x14ac:dyDescent="0.3">
      <c r="A31">
        <v>3</v>
      </c>
      <c r="B31" t="s">
        <v>12</v>
      </c>
      <c r="C31">
        <v>3</v>
      </c>
      <c r="D31">
        <v>50</v>
      </c>
      <c r="E31">
        <f t="shared" si="0"/>
        <v>6</v>
      </c>
      <c r="F31" s="1" t="s">
        <v>13</v>
      </c>
      <c r="G31" s="2" t="s">
        <v>30</v>
      </c>
      <c r="H31" t="s">
        <v>31</v>
      </c>
    </row>
    <row r="32" spans="1:8" ht="15.6" x14ac:dyDescent="0.3">
      <c r="A32">
        <v>5</v>
      </c>
      <c r="B32" t="s">
        <v>12</v>
      </c>
      <c r="C32">
        <v>3</v>
      </c>
      <c r="D32">
        <v>50</v>
      </c>
      <c r="E32">
        <f t="shared" si="0"/>
        <v>6</v>
      </c>
      <c r="F32" s="1" t="s">
        <v>13</v>
      </c>
      <c r="G32" s="2" t="s">
        <v>30</v>
      </c>
      <c r="H32" t="s">
        <v>31</v>
      </c>
    </row>
    <row r="33" spans="1:8" ht="15.6" x14ac:dyDescent="0.3">
      <c r="A33">
        <v>6</v>
      </c>
      <c r="B33" t="s">
        <v>12</v>
      </c>
      <c r="C33">
        <v>6</v>
      </c>
      <c r="D33">
        <v>50</v>
      </c>
      <c r="E33">
        <f t="shared" si="0"/>
        <v>12</v>
      </c>
      <c r="F33" s="1" t="s">
        <v>13</v>
      </c>
      <c r="G33" s="2" t="s">
        <v>30</v>
      </c>
    </row>
    <row r="34" spans="1:8" ht="15.6" x14ac:dyDescent="0.3">
      <c r="A34">
        <v>3</v>
      </c>
      <c r="B34" t="s">
        <v>8</v>
      </c>
      <c r="C34">
        <v>6</v>
      </c>
      <c r="D34">
        <v>50</v>
      </c>
      <c r="E34">
        <f t="shared" si="0"/>
        <v>12</v>
      </c>
      <c r="F34" s="1" t="s">
        <v>28</v>
      </c>
      <c r="G34" s="2" t="s">
        <v>32</v>
      </c>
    </row>
    <row r="35" spans="1:8" ht="15.6" x14ac:dyDescent="0.3">
      <c r="A35">
        <v>3</v>
      </c>
      <c r="B35" t="s">
        <v>12</v>
      </c>
      <c r="C35">
        <v>4</v>
      </c>
      <c r="D35">
        <v>50</v>
      </c>
      <c r="E35">
        <f t="shared" si="0"/>
        <v>8</v>
      </c>
      <c r="F35" s="1" t="s">
        <v>28</v>
      </c>
      <c r="G35" s="2" t="s">
        <v>32</v>
      </c>
    </row>
    <row r="36" spans="1:8" ht="15.6" x14ac:dyDescent="0.3">
      <c r="A36">
        <v>4</v>
      </c>
      <c r="B36" t="s">
        <v>12</v>
      </c>
      <c r="C36">
        <v>1</v>
      </c>
      <c r="D36">
        <v>50</v>
      </c>
      <c r="E36">
        <f t="shared" si="0"/>
        <v>2</v>
      </c>
      <c r="F36" s="1" t="s">
        <v>28</v>
      </c>
      <c r="G36" s="2" t="s">
        <v>32</v>
      </c>
    </row>
    <row r="37" spans="1:8" ht="15.6" x14ac:dyDescent="0.3">
      <c r="A37">
        <v>2</v>
      </c>
      <c r="B37" t="s">
        <v>8</v>
      </c>
      <c r="C37">
        <v>1</v>
      </c>
      <c r="D37">
        <v>50</v>
      </c>
      <c r="E37">
        <f t="shared" si="0"/>
        <v>2</v>
      </c>
      <c r="F37" s="1" t="s">
        <v>28</v>
      </c>
      <c r="G37" s="2" t="s">
        <v>33</v>
      </c>
    </row>
    <row r="38" spans="1:8" ht="15.6" x14ac:dyDescent="0.3">
      <c r="A38">
        <v>3</v>
      </c>
      <c r="B38" t="s">
        <v>8</v>
      </c>
      <c r="C38">
        <v>37</v>
      </c>
      <c r="D38">
        <v>50</v>
      </c>
      <c r="E38">
        <f t="shared" si="0"/>
        <v>74</v>
      </c>
      <c r="F38" s="1" t="s">
        <v>13</v>
      </c>
      <c r="G38" s="2" t="s">
        <v>34</v>
      </c>
      <c r="H38" t="s">
        <v>35</v>
      </c>
    </row>
    <row r="39" spans="1:8" ht="15.6" x14ac:dyDescent="0.3">
      <c r="A39">
        <v>3</v>
      </c>
      <c r="B39" t="s">
        <v>12</v>
      </c>
      <c r="C39">
        <v>50</v>
      </c>
      <c r="D39">
        <v>50</v>
      </c>
      <c r="E39">
        <f t="shared" si="0"/>
        <v>100</v>
      </c>
      <c r="F39" s="1" t="s">
        <v>13</v>
      </c>
      <c r="G39" s="2" t="s">
        <v>34</v>
      </c>
      <c r="H39" t="s">
        <v>35</v>
      </c>
    </row>
    <row r="40" spans="1:8" ht="15.6" x14ac:dyDescent="0.3">
      <c r="A40">
        <v>2</v>
      </c>
      <c r="B40" t="s">
        <v>12</v>
      </c>
      <c r="C40">
        <v>3</v>
      </c>
      <c r="D40">
        <v>50</v>
      </c>
      <c r="E40">
        <f t="shared" si="0"/>
        <v>6</v>
      </c>
      <c r="F40" s="1" t="s">
        <v>13</v>
      </c>
      <c r="G40" s="2" t="s">
        <v>34</v>
      </c>
      <c r="H40" t="s">
        <v>35</v>
      </c>
    </row>
    <row r="41" spans="1:8" ht="15.6" x14ac:dyDescent="0.3">
      <c r="A41">
        <v>5</v>
      </c>
      <c r="B41" t="s">
        <v>8</v>
      </c>
      <c r="C41">
        <v>8</v>
      </c>
      <c r="D41">
        <v>50</v>
      </c>
      <c r="E41">
        <f t="shared" si="0"/>
        <v>16</v>
      </c>
      <c r="F41" s="1" t="s">
        <v>13</v>
      </c>
      <c r="G41" s="2" t="s">
        <v>34</v>
      </c>
      <c r="H41" t="s">
        <v>35</v>
      </c>
    </row>
    <row r="42" spans="1:8" ht="15.6" x14ac:dyDescent="0.3">
      <c r="A42">
        <v>5</v>
      </c>
      <c r="B42" t="s">
        <v>12</v>
      </c>
      <c r="C42">
        <v>25</v>
      </c>
      <c r="D42">
        <v>50</v>
      </c>
      <c r="E42">
        <f t="shared" si="0"/>
        <v>50</v>
      </c>
      <c r="F42" s="1" t="s">
        <v>13</v>
      </c>
      <c r="G42" s="2" t="s">
        <v>34</v>
      </c>
      <c r="H42" t="s">
        <v>35</v>
      </c>
    </row>
    <row r="43" spans="1:8" ht="15.6" x14ac:dyDescent="0.3">
      <c r="A43">
        <v>4</v>
      </c>
      <c r="B43" t="s">
        <v>12</v>
      </c>
      <c r="C43">
        <v>25</v>
      </c>
      <c r="D43">
        <v>50</v>
      </c>
      <c r="E43">
        <f t="shared" si="0"/>
        <v>50</v>
      </c>
      <c r="F43" s="1" t="s">
        <v>13</v>
      </c>
      <c r="G43" s="2" t="s">
        <v>34</v>
      </c>
      <c r="H43" t="s">
        <v>35</v>
      </c>
    </row>
    <row r="44" spans="1:8" ht="15.6" x14ac:dyDescent="0.3">
      <c r="A44">
        <v>1</v>
      </c>
      <c r="B44" t="s">
        <v>8</v>
      </c>
      <c r="C44">
        <v>31</v>
      </c>
      <c r="D44">
        <v>50</v>
      </c>
      <c r="E44">
        <f t="shared" si="0"/>
        <v>62</v>
      </c>
      <c r="F44" s="1" t="s">
        <v>13</v>
      </c>
      <c r="G44" s="2" t="s">
        <v>34</v>
      </c>
      <c r="H44" t="s">
        <v>35</v>
      </c>
    </row>
    <row r="45" spans="1:8" ht="15.6" x14ac:dyDescent="0.3">
      <c r="A45">
        <v>1</v>
      </c>
      <c r="B45" t="s">
        <v>12</v>
      </c>
      <c r="C45">
        <v>29</v>
      </c>
      <c r="D45">
        <v>50</v>
      </c>
      <c r="E45">
        <f t="shared" si="0"/>
        <v>57.999999999999993</v>
      </c>
      <c r="F45" s="1" t="s">
        <v>13</v>
      </c>
      <c r="G45" s="2" t="s">
        <v>34</v>
      </c>
      <c r="H45" t="s">
        <v>35</v>
      </c>
    </row>
    <row r="46" spans="1:8" ht="15.6" x14ac:dyDescent="0.3">
      <c r="A46">
        <v>3</v>
      </c>
      <c r="B46" t="s">
        <v>12</v>
      </c>
      <c r="C46">
        <v>18</v>
      </c>
      <c r="D46">
        <v>50</v>
      </c>
      <c r="E46">
        <f t="shared" si="0"/>
        <v>36</v>
      </c>
      <c r="F46" s="1" t="s">
        <v>9</v>
      </c>
      <c r="G46" s="2" t="s">
        <v>36</v>
      </c>
      <c r="H46" t="s">
        <v>37</v>
      </c>
    </row>
    <row r="47" spans="1:8" ht="15.6" x14ac:dyDescent="0.3">
      <c r="A47">
        <v>2</v>
      </c>
      <c r="B47" t="s">
        <v>12</v>
      </c>
      <c r="C47">
        <v>5</v>
      </c>
      <c r="D47">
        <v>50</v>
      </c>
      <c r="E47">
        <f t="shared" si="0"/>
        <v>10</v>
      </c>
      <c r="F47" s="1" t="s">
        <v>9</v>
      </c>
      <c r="G47" s="2" t="s">
        <v>36</v>
      </c>
      <c r="H47" t="s">
        <v>37</v>
      </c>
    </row>
    <row r="48" spans="1:8" ht="15.6" x14ac:dyDescent="0.3">
      <c r="A48">
        <v>5</v>
      </c>
      <c r="B48" t="s">
        <v>12</v>
      </c>
      <c r="C48">
        <v>6</v>
      </c>
      <c r="D48">
        <v>50</v>
      </c>
      <c r="E48">
        <f t="shared" si="0"/>
        <v>12</v>
      </c>
      <c r="F48" s="1" t="s">
        <v>9</v>
      </c>
      <c r="G48" s="2" t="s">
        <v>36</v>
      </c>
      <c r="H48" t="s">
        <v>37</v>
      </c>
    </row>
    <row r="49" spans="1:8" ht="15.6" x14ac:dyDescent="0.3">
      <c r="A49">
        <v>4</v>
      </c>
      <c r="B49" t="s">
        <v>12</v>
      </c>
      <c r="C49">
        <v>17</v>
      </c>
      <c r="D49">
        <v>50</v>
      </c>
      <c r="E49">
        <f t="shared" si="0"/>
        <v>34</v>
      </c>
      <c r="F49" s="1" t="s">
        <v>9</v>
      </c>
      <c r="G49" s="2" t="s">
        <v>36</v>
      </c>
      <c r="H49" t="s">
        <v>37</v>
      </c>
    </row>
    <row r="50" spans="1:8" ht="15.6" x14ac:dyDescent="0.3">
      <c r="A50">
        <v>1</v>
      </c>
      <c r="B50" t="s">
        <v>12</v>
      </c>
      <c r="C50">
        <v>13</v>
      </c>
      <c r="D50">
        <v>50</v>
      </c>
      <c r="E50">
        <f t="shared" si="0"/>
        <v>26</v>
      </c>
      <c r="F50" s="1" t="s">
        <v>9</v>
      </c>
      <c r="G50" s="2" t="s">
        <v>36</v>
      </c>
      <c r="H50" t="s">
        <v>37</v>
      </c>
    </row>
    <row r="51" spans="1:8" ht="15.6" x14ac:dyDescent="0.3">
      <c r="A51">
        <v>3</v>
      </c>
      <c r="B51" t="s">
        <v>8</v>
      </c>
      <c r="C51">
        <v>5</v>
      </c>
      <c r="D51">
        <v>50</v>
      </c>
      <c r="E51">
        <f t="shared" si="0"/>
        <v>10</v>
      </c>
      <c r="F51" s="1" t="s">
        <v>9</v>
      </c>
      <c r="G51" s="2" t="s">
        <v>38</v>
      </c>
      <c r="H51" t="s">
        <v>39</v>
      </c>
    </row>
    <row r="52" spans="1:8" ht="15.6" x14ac:dyDescent="0.3">
      <c r="A52">
        <v>5</v>
      </c>
      <c r="B52" t="s">
        <v>8</v>
      </c>
      <c r="C52">
        <v>3</v>
      </c>
      <c r="D52">
        <v>50</v>
      </c>
      <c r="E52">
        <f t="shared" si="0"/>
        <v>6</v>
      </c>
      <c r="F52" s="1" t="s">
        <v>9</v>
      </c>
      <c r="G52" s="2" t="s">
        <v>38</v>
      </c>
      <c r="H52" t="s">
        <v>39</v>
      </c>
    </row>
    <row r="53" spans="1:8" ht="15.6" x14ac:dyDescent="0.3">
      <c r="A53">
        <v>3</v>
      </c>
      <c r="B53" t="s">
        <v>8</v>
      </c>
      <c r="C53">
        <v>3</v>
      </c>
      <c r="D53">
        <v>50</v>
      </c>
      <c r="E53">
        <f t="shared" si="0"/>
        <v>6</v>
      </c>
      <c r="F53" s="1" t="s">
        <v>9</v>
      </c>
      <c r="G53" s="2" t="s">
        <v>40</v>
      </c>
      <c r="H53" t="s">
        <v>41</v>
      </c>
    </row>
    <row r="54" spans="1:8" ht="15.6" x14ac:dyDescent="0.3">
      <c r="A54">
        <v>6</v>
      </c>
      <c r="B54" t="s">
        <v>8</v>
      </c>
      <c r="C54">
        <v>1</v>
      </c>
      <c r="D54">
        <v>50</v>
      </c>
      <c r="E54">
        <f t="shared" si="0"/>
        <v>2</v>
      </c>
      <c r="F54" s="1" t="s">
        <v>9</v>
      </c>
      <c r="G54" s="2" t="s">
        <v>40</v>
      </c>
    </row>
    <row r="55" spans="1:8" ht="15.6" x14ac:dyDescent="0.3">
      <c r="A55">
        <v>5</v>
      </c>
      <c r="B55" t="s">
        <v>8</v>
      </c>
      <c r="C55">
        <v>1</v>
      </c>
      <c r="D55">
        <v>50</v>
      </c>
      <c r="E55">
        <f t="shared" si="0"/>
        <v>2</v>
      </c>
      <c r="F55" s="1" t="s">
        <v>9</v>
      </c>
      <c r="G55" s="2" t="s">
        <v>40</v>
      </c>
      <c r="H55" t="s">
        <v>41</v>
      </c>
    </row>
    <row r="56" spans="1:8" ht="15.6" x14ac:dyDescent="0.3">
      <c r="A56">
        <v>1</v>
      </c>
      <c r="B56" t="s">
        <v>8</v>
      </c>
      <c r="C56">
        <v>2</v>
      </c>
      <c r="D56">
        <v>50</v>
      </c>
      <c r="E56">
        <f t="shared" si="0"/>
        <v>4</v>
      </c>
      <c r="F56" s="1" t="s">
        <v>9</v>
      </c>
      <c r="G56" s="2" t="s">
        <v>40</v>
      </c>
      <c r="H56" t="s">
        <v>41</v>
      </c>
    </row>
    <row r="57" spans="1:8" ht="15.6" x14ac:dyDescent="0.3">
      <c r="A57">
        <v>3</v>
      </c>
      <c r="B57" t="s">
        <v>8</v>
      </c>
      <c r="C57">
        <v>3</v>
      </c>
      <c r="D57">
        <v>50</v>
      </c>
      <c r="E57">
        <f t="shared" si="0"/>
        <v>6</v>
      </c>
      <c r="F57" s="1" t="s">
        <v>9</v>
      </c>
      <c r="G57" s="2" t="s">
        <v>42</v>
      </c>
      <c r="H57" t="s">
        <v>43</v>
      </c>
    </row>
    <row r="58" spans="1:8" ht="15.6" x14ac:dyDescent="0.3">
      <c r="A58">
        <v>4</v>
      </c>
      <c r="B58" t="s">
        <v>8</v>
      </c>
      <c r="C58">
        <v>4</v>
      </c>
      <c r="D58">
        <v>20</v>
      </c>
      <c r="E58">
        <f t="shared" si="0"/>
        <v>20</v>
      </c>
      <c r="F58" s="1" t="s">
        <v>9</v>
      </c>
      <c r="G58" s="2" t="s">
        <v>42</v>
      </c>
      <c r="H58" t="s">
        <v>43</v>
      </c>
    </row>
    <row r="59" spans="1:8" ht="15.6" x14ac:dyDescent="0.3">
      <c r="A59">
        <v>1</v>
      </c>
      <c r="B59" t="s">
        <v>8</v>
      </c>
      <c r="C59">
        <v>4</v>
      </c>
      <c r="D59">
        <v>50</v>
      </c>
      <c r="E59">
        <f t="shared" si="0"/>
        <v>8</v>
      </c>
      <c r="F59" s="1" t="s">
        <v>9</v>
      </c>
      <c r="G59" s="2" t="s">
        <v>42</v>
      </c>
      <c r="H59" t="s">
        <v>43</v>
      </c>
    </row>
    <row r="60" spans="1:8" ht="15.6" x14ac:dyDescent="0.3">
      <c r="A60">
        <v>4</v>
      </c>
      <c r="B60" t="s">
        <v>8</v>
      </c>
      <c r="C60">
        <v>1</v>
      </c>
      <c r="D60">
        <v>20</v>
      </c>
      <c r="E60">
        <f t="shared" si="0"/>
        <v>5</v>
      </c>
      <c r="F60" s="1" t="s">
        <v>13</v>
      </c>
      <c r="G60" s="2" t="s">
        <v>44</v>
      </c>
      <c r="H60" t="s">
        <v>45</v>
      </c>
    </row>
    <row r="61" spans="1:8" ht="15.6" x14ac:dyDescent="0.3">
      <c r="A61">
        <v>1</v>
      </c>
      <c r="B61" t="s">
        <v>8</v>
      </c>
      <c r="C61">
        <v>2</v>
      </c>
      <c r="D61">
        <v>50</v>
      </c>
      <c r="E61">
        <f t="shared" si="0"/>
        <v>4</v>
      </c>
      <c r="F61" s="1" t="s">
        <v>13</v>
      </c>
      <c r="G61" s="2" t="s">
        <v>44</v>
      </c>
      <c r="H61" t="s">
        <v>45</v>
      </c>
    </row>
    <row r="62" spans="1:8" ht="15.6" x14ac:dyDescent="0.3">
      <c r="A62">
        <v>5</v>
      </c>
      <c r="B62" t="s">
        <v>12</v>
      </c>
      <c r="C62">
        <v>1</v>
      </c>
      <c r="D62">
        <v>50</v>
      </c>
      <c r="E62">
        <f t="shared" si="0"/>
        <v>2</v>
      </c>
      <c r="F62" s="1" t="s">
        <v>28</v>
      </c>
      <c r="G62" s="2" t="s">
        <v>46</v>
      </c>
    </row>
    <row r="63" spans="1:8" ht="15.6" x14ac:dyDescent="0.3">
      <c r="A63">
        <v>4</v>
      </c>
      <c r="B63" t="s">
        <v>12</v>
      </c>
      <c r="C63">
        <v>3</v>
      </c>
      <c r="D63">
        <v>50</v>
      </c>
      <c r="E63">
        <f t="shared" si="0"/>
        <v>6</v>
      </c>
      <c r="F63" s="1" t="s">
        <v>28</v>
      </c>
      <c r="G63" s="2" t="s">
        <v>46</v>
      </c>
    </row>
    <row r="64" spans="1:8" ht="15.6" x14ac:dyDescent="0.3">
      <c r="A64">
        <v>1</v>
      </c>
      <c r="B64" t="s">
        <v>8</v>
      </c>
      <c r="C64">
        <v>2</v>
      </c>
      <c r="D64">
        <v>50</v>
      </c>
      <c r="E64">
        <f t="shared" si="0"/>
        <v>4</v>
      </c>
      <c r="F64" s="1" t="s">
        <v>9</v>
      </c>
      <c r="G64" s="2" t="s">
        <v>47</v>
      </c>
      <c r="H64" t="s">
        <v>48</v>
      </c>
    </row>
    <row r="65" spans="1:8" ht="15.6" x14ac:dyDescent="0.3">
      <c r="A65">
        <v>3</v>
      </c>
      <c r="B65" t="s">
        <v>8</v>
      </c>
      <c r="C65">
        <v>3</v>
      </c>
      <c r="D65">
        <v>50</v>
      </c>
      <c r="E65">
        <f t="shared" si="0"/>
        <v>6</v>
      </c>
      <c r="F65" s="1" t="s">
        <v>9</v>
      </c>
      <c r="G65" s="2" t="s">
        <v>49</v>
      </c>
      <c r="H65" t="s">
        <v>50</v>
      </c>
    </row>
    <row r="66" spans="1:8" ht="15.6" x14ac:dyDescent="0.3">
      <c r="A66">
        <v>5</v>
      </c>
      <c r="B66" t="s">
        <v>8</v>
      </c>
      <c r="C66">
        <v>1</v>
      </c>
      <c r="D66">
        <v>50</v>
      </c>
      <c r="E66">
        <f t="shared" si="0"/>
        <v>2</v>
      </c>
      <c r="F66" s="1" t="s">
        <v>9</v>
      </c>
      <c r="G66" s="2" t="s">
        <v>49</v>
      </c>
      <c r="H66" t="s">
        <v>50</v>
      </c>
    </row>
    <row r="67" spans="1:8" ht="15.6" x14ac:dyDescent="0.3">
      <c r="A67">
        <v>4</v>
      </c>
      <c r="B67" t="s">
        <v>8</v>
      </c>
      <c r="C67">
        <v>2</v>
      </c>
      <c r="D67">
        <v>20</v>
      </c>
      <c r="E67">
        <f t="shared" ref="E67:E128" si="1">C67/D67*100</f>
        <v>10</v>
      </c>
      <c r="F67" s="1" t="s">
        <v>9</v>
      </c>
      <c r="G67" s="2" t="s">
        <v>49</v>
      </c>
      <c r="H67" t="s">
        <v>50</v>
      </c>
    </row>
    <row r="68" spans="1:8" ht="15.6" x14ac:dyDescent="0.3">
      <c r="A68">
        <v>1</v>
      </c>
      <c r="B68" t="s">
        <v>8</v>
      </c>
      <c r="C68">
        <v>1</v>
      </c>
      <c r="D68">
        <v>50</v>
      </c>
      <c r="E68">
        <f t="shared" si="1"/>
        <v>2</v>
      </c>
      <c r="F68" s="1" t="s">
        <v>9</v>
      </c>
      <c r="G68" s="2" t="s">
        <v>49</v>
      </c>
      <c r="H68" t="s">
        <v>50</v>
      </c>
    </row>
    <row r="69" spans="1:8" ht="15.6" x14ac:dyDescent="0.3">
      <c r="A69">
        <v>3</v>
      </c>
      <c r="B69" t="s">
        <v>8</v>
      </c>
      <c r="C69">
        <v>4</v>
      </c>
      <c r="D69">
        <v>50</v>
      </c>
      <c r="E69">
        <f t="shared" si="1"/>
        <v>8</v>
      </c>
      <c r="F69" s="1" t="s">
        <v>9</v>
      </c>
      <c r="G69" s="2" t="s">
        <v>51</v>
      </c>
      <c r="H69" t="s">
        <v>52</v>
      </c>
    </row>
    <row r="70" spans="1:8" ht="15.6" x14ac:dyDescent="0.3">
      <c r="A70">
        <v>2</v>
      </c>
      <c r="B70" t="s">
        <v>8</v>
      </c>
      <c r="C70">
        <v>14</v>
      </c>
      <c r="D70">
        <v>50</v>
      </c>
      <c r="E70">
        <f t="shared" si="1"/>
        <v>28.000000000000004</v>
      </c>
      <c r="F70" s="1" t="s">
        <v>9</v>
      </c>
      <c r="G70" s="2" t="s">
        <v>51</v>
      </c>
      <c r="H70" t="s">
        <v>53</v>
      </c>
    </row>
    <row r="71" spans="1:8" ht="15.6" x14ac:dyDescent="0.3">
      <c r="A71">
        <v>5</v>
      </c>
      <c r="B71" t="s">
        <v>8</v>
      </c>
      <c r="C71">
        <v>5</v>
      </c>
      <c r="D71">
        <v>50</v>
      </c>
      <c r="E71">
        <f t="shared" si="1"/>
        <v>10</v>
      </c>
      <c r="F71" s="1" t="s">
        <v>9</v>
      </c>
      <c r="G71" s="2" t="s">
        <v>51</v>
      </c>
      <c r="H71" t="s">
        <v>53</v>
      </c>
    </row>
    <row r="72" spans="1:8" ht="15.6" x14ac:dyDescent="0.3">
      <c r="A72">
        <v>4</v>
      </c>
      <c r="B72" t="s">
        <v>8</v>
      </c>
      <c r="C72">
        <v>7</v>
      </c>
      <c r="D72">
        <v>20</v>
      </c>
      <c r="E72">
        <f t="shared" si="1"/>
        <v>35</v>
      </c>
      <c r="F72" s="1" t="s">
        <v>9</v>
      </c>
      <c r="G72" s="2" t="s">
        <v>51</v>
      </c>
      <c r="H72" t="s">
        <v>53</v>
      </c>
    </row>
    <row r="73" spans="1:8" ht="15.6" x14ac:dyDescent="0.3">
      <c r="A73">
        <v>1</v>
      </c>
      <c r="B73" t="s">
        <v>8</v>
      </c>
      <c r="C73">
        <v>13</v>
      </c>
      <c r="D73">
        <v>50</v>
      </c>
      <c r="E73">
        <f t="shared" si="1"/>
        <v>26</v>
      </c>
      <c r="F73" s="1" t="s">
        <v>9</v>
      </c>
      <c r="G73" s="2" t="s">
        <v>51</v>
      </c>
      <c r="H73" t="s">
        <v>53</v>
      </c>
    </row>
    <row r="74" spans="1:8" ht="15.6" x14ac:dyDescent="0.3">
      <c r="A74">
        <v>2</v>
      </c>
      <c r="B74" t="s">
        <v>12</v>
      </c>
      <c r="C74">
        <v>17</v>
      </c>
      <c r="D74">
        <v>50</v>
      </c>
      <c r="E74">
        <f t="shared" si="1"/>
        <v>34</v>
      </c>
      <c r="F74" s="1" t="s">
        <v>13</v>
      </c>
      <c r="G74" s="2" t="s">
        <v>54</v>
      </c>
      <c r="H74" t="s">
        <v>55</v>
      </c>
    </row>
    <row r="75" spans="1:8" ht="15.6" x14ac:dyDescent="0.3">
      <c r="A75">
        <v>3</v>
      </c>
      <c r="B75" t="s">
        <v>12</v>
      </c>
      <c r="C75">
        <v>2</v>
      </c>
      <c r="D75">
        <v>50</v>
      </c>
      <c r="E75">
        <f t="shared" si="1"/>
        <v>4</v>
      </c>
      <c r="F75" s="1" t="s">
        <v>13</v>
      </c>
      <c r="G75" s="2" t="s">
        <v>56</v>
      </c>
      <c r="H75" t="s">
        <v>57</v>
      </c>
    </row>
    <row r="76" spans="1:8" ht="15.6" x14ac:dyDescent="0.3">
      <c r="A76">
        <v>6</v>
      </c>
      <c r="B76" t="s">
        <v>12</v>
      </c>
      <c r="C76">
        <v>30</v>
      </c>
      <c r="D76">
        <v>50</v>
      </c>
      <c r="E76">
        <f t="shared" si="1"/>
        <v>60</v>
      </c>
      <c r="F76" s="1" t="s">
        <v>13</v>
      </c>
      <c r="G76" s="2" t="s">
        <v>56</v>
      </c>
    </row>
    <row r="77" spans="1:8" ht="15.6" x14ac:dyDescent="0.3">
      <c r="A77">
        <v>4</v>
      </c>
      <c r="B77" t="s">
        <v>12</v>
      </c>
      <c r="C77">
        <v>1</v>
      </c>
      <c r="D77">
        <v>50</v>
      </c>
      <c r="E77">
        <f t="shared" si="1"/>
        <v>2</v>
      </c>
      <c r="F77" s="1" t="s">
        <v>13</v>
      </c>
      <c r="G77" s="2" t="s">
        <v>56</v>
      </c>
      <c r="H77" t="s">
        <v>57</v>
      </c>
    </row>
    <row r="78" spans="1:8" ht="15.6" x14ac:dyDescent="0.3">
      <c r="A78">
        <v>2</v>
      </c>
      <c r="B78" t="s">
        <v>8</v>
      </c>
      <c r="C78">
        <v>1</v>
      </c>
      <c r="D78">
        <v>50</v>
      </c>
      <c r="E78">
        <f t="shared" si="1"/>
        <v>2</v>
      </c>
      <c r="F78" s="1" t="s">
        <v>9</v>
      </c>
      <c r="G78" s="2" t="s">
        <v>58</v>
      </c>
      <c r="H78" t="s">
        <v>59</v>
      </c>
    </row>
    <row r="79" spans="1:8" ht="15.6" x14ac:dyDescent="0.3">
      <c r="A79">
        <v>5</v>
      </c>
      <c r="B79" t="s">
        <v>8</v>
      </c>
      <c r="C79">
        <v>1</v>
      </c>
      <c r="D79">
        <v>50</v>
      </c>
      <c r="E79">
        <f t="shared" si="1"/>
        <v>2</v>
      </c>
      <c r="F79" s="1" t="s">
        <v>9</v>
      </c>
      <c r="G79" s="2" t="s">
        <v>58</v>
      </c>
      <c r="H79" t="s">
        <v>59</v>
      </c>
    </row>
    <row r="80" spans="1:8" ht="15.6" x14ac:dyDescent="0.3">
      <c r="A80">
        <v>1</v>
      </c>
      <c r="B80" t="s">
        <v>8</v>
      </c>
      <c r="C80">
        <v>1</v>
      </c>
      <c r="D80">
        <v>50</v>
      </c>
      <c r="E80">
        <f t="shared" si="1"/>
        <v>2</v>
      </c>
      <c r="F80" s="1" t="s">
        <v>9</v>
      </c>
      <c r="G80" s="2" t="s">
        <v>58</v>
      </c>
      <c r="H80" t="s">
        <v>59</v>
      </c>
    </row>
    <row r="81" spans="1:8" ht="15.6" x14ac:dyDescent="0.3">
      <c r="A81">
        <v>3</v>
      </c>
      <c r="B81" t="s">
        <v>8</v>
      </c>
      <c r="C81">
        <v>4</v>
      </c>
      <c r="D81">
        <v>50</v>
      </c>
      <c r="E81">
        <f t="shared" si="1"/>
        <v>8</v>
      </c>
      <c r="F81" s="1" t="s">
        <v>9</v>
      </c>
      <c r="G81" s="2" t="s">
        <v>60</v>
      </c>
      <c r="H81" t="s">
        <v>61</v>
      </c>
    </row>
    <row r="82" spans="1:8" ht="15.6" x14ac:dyDescent="0.3">
      <c r="A82">
        <v>6</v>
      </c>
      <c r="B82" t="s">
        <v>8</v>
      </c>
      <c r="C82">
        <v>2</v>
      </c>
      <c r="D82">
        <v>50</v>
      </c>
      <c r="E82">
        <f t="shared" si="1"/>
        <v>4</v>
      </c>
      <c r="F82" s="1" t="s">
        <v>9</v>
      </c>
      <c r="G82" s="2" t="s">
        <v>60</v>
      </c>
    </row>
    <row r="83" spans="1:8" ht="15.6" x14ac:dyDescent="0.3">
      <c r="A83">
        <v>2</v>
      </c>
      <c r="B83" t="s">
        <v>8</v>
      </c>
      <c r="C83">
        <v>2</v>
      </c>
      <c r="D83">
        <v>50</v>
      </c>
      <c r="E83">
        <f t="shared" si="1"/>
        <v>4</v>
      </c>
      <c r="F83" s="1" t="s">
        <v>9</v>
      </c>
      <c r="G83" s="2" t="s">
        <v>60</v>
      </c>
      <c r="H83" t="s">
        <v>61</v>
      </c>
    </row>
    <row r="84" spans="1:8" ht="15.6" x14ac:dyDescent="0.3">
      <c r="A84">
        <v>4</v>
      </c>
      <c r="B84" t="s">
        <v>8</v>
      </c>
      <c r="C84">
        <v>6</v>
      </c>
      <c r="D84">
        <v>20</v>
      </c>
      <c r="E84">
        <f t="shared" si="1"/>
        <v>30</v>
      </c>
      <c r="F84" s="1" t="s">
        <v>9</v>
      </c>
      <c r="G84" s="2" t="s">
        <v>60</v>
      </c>
      <c r="H84" t="s">
        <v>61</v>
      </c>
    </row>
    <row r="85" spans="1:8" ht="15.6" x14ac:dyDescent="0.3">
      <c r="A85">
        <v>1</v>
      </c>
      <c r="B85" t="s">
        <v>8</v>
      </c>
      <c r="C85">
        <v>13</v>
      </c>
      <c r="D85">
        <v>50</v>
      </c>
      <c r="E85">
        <f t="shared" si="1"/>
        <v>26</v>
      </c>
      <c r="F85" s="1" t="s">
        <v>9</v>
      </c>
      <c r="G85" s="2" t="s">
        <v>60</v>
      </c>
      <c r="H85" t="s">
        <v>61</v>
      </c>
    </row>
    <row r="86" spans="1:8" ht="15.6" x14ac:dyDescent="0.3">
      <c r="A86">
        <v>3</v>
      </c>
      <c r="B86" t="s">
        <v>12</v>
      </c>
      <c r="C86">
        <v>2</v>
      </c>
      <c r="D86">
        <v>50</v>
      </c>
      <c r="E86">
        <f t="shared" si="1"/>
        <v>4</v>
      </c>
      <c r="F86" s="1" t="s">
        <v>28</v>
      </c>
      <c r="G86" s="2" t="s">
        <v>62</v>
      </c>
    </row>
    <row r="87" spans="1:8" ht="15.6" x14ac:dyDescent="0.3">
      <c r="A87">
        <v>2</v>
      </c>
      <c r="B87" t="s">
        <v>12</v>
      </c>
      <c r="C87">
        <v>4</v>
      </c>
      <c r="D87">
        <v>50</v>
      </c>
      <c r="E87">
        <f t="shared" si="1"/>
        <v>8</v>
      </c>
      <c r="F87" s="1" t="s">
        <v>28</v>
      </c>
      <c r="G87" s="2" t="s">
        <v>62</v>
      </c>
    </row>
    <row r="88" spans="1:8" ht="15.6" x14ac:dyDescent="0.3">
      <c r="A88">
        <v>3</v>
      </c>
      <c r="B88" t="s">
        <v>8</v>
      </c>
      <c r="C88">
        <v>6</v>
      </c>
      <c r="D88">
        <v>50</v>
      </c>
      <c r="E88">
        <f t="shared" si="1"/>
        <v>12</v>
      </c>
      <c r="F88" s="1" t="s">
        <v>9</v>
      </c>
      <c r="G88" s="2" t="s">
        <v>63</v>
      </c>
      <c r="H88" t="s">
        <v>64</v>
      </c>
    </row>
    <row r="89" spans="1:8" ht="15.6" x14ac:dyDescent="0.3">
      <c r="A89">
        <v>3</v>
      </c>
      <c r="B89" t="s">
        <v>12</v>
      </c>
      <c r="C89">
        <v>4</v>
      </c>
      <c r="D89">
        <v>50</v>
      </c>
      <c r="E89">
        <f t="shared" si="1"/>
        <v>8</v>
      </c>
      <c r="F89" s="1" t="s">
        <v>9</v>
      </c>
      <c r="G89" s="2" t="s">
        <v>63</v>
      </c>
      <c r="H89" t="s">
        <v>64</v>
      </c>
    </row>
    <row r="90" spans="1:8" ht="15.6" x14ac:dyDescent="0.3">
      <c r="A90">
        <v>6</v>
      </c>
      <c r="B90" t="s">
        <v>8</v>
      </c>
      <c r="C90">
        <v>4</v>
      </c>
      <c r="D90">
        <v>50</v>
      </c>
      <c r="E90">
        <f t="shared" si="1"/>
        <v>8</v>
      </c>
      <c r="F90" s="1" t="s">
        <v>9</v>
      </c>
      <c r="G90" s="2" t="s">
        <v>63</v>
      </c>
    </row>
    <row r="91" spans="1:8" ht="15.6" x14ac:dyDescent="0.3">
      <c r="A91">
        <v>2</v>
      </c>
      <c r="B91" t="s">
        <v>8</v>
      </c>
      <c r="C91">
        <v>1</v>
      </c>
      <c r="D91">
        <v>50</v>
      </c>
      <c r="E91">
        <f t="shared" si="1"/>
        <v>2</v>
      </c>
      <c r="F91" s="1" t="s">
        <v>9</v>
      </c>
      <c r="G91" s="2" t="s">
        <v>63</v>
      </c>
      <c r="H91" t="s">
        <v>65</v>
      </c>
    </row>
    <row r="92" spans="1:8" ht="15.6" x14ac:dyDescent="0.3">
      <c r="A92">
        <v>2</v>
      </c>
      <c r="B92" t="s">
        <v>12</v>
      </c>
      <c r="C92">
        <v>7</v>
      </c>
      <c r="D92">
        <v>50</v>
      </c>
      <c r="E92">
        <f t="shared" si="1"/>
        <v>14.000000000000002</v>
      </c>
      <c r="F92" s="1" t="s">
        <v>9</v>
      </c>
      <c r="G92" s="2" t="s">
        <v>63</v>
      </c>
      <c r="H92" t="s">
        <v>64</v>
      </c>
    </row>
    <row r="93" spans="1:8" ht="15.6" x14ac:dyDescent="0.3">
      <c r="A93">
        <v>5</v>
      </c>
      <c r="B93" t="s">
        <v>8</v>
      </c>
      <c r="C93">
        <v>9</v>
      </c>
      <c r="D93">
        <v>50</v>
      </c>
      <c r="E93">
        <f t="shared" si="1"/>
        <v>18</v>
      </c>
      <c r="F93" s="1" t="s">
        <v>9</v>
      </c>
      <c r="G93" s="2" t="s">
        <v>63</v>
      </c>
      <c r="H93" t="s">
        <v>64</v>
      </c>
    </row>
    <row r="94" spans="1:8" ht="15.6" x14ac:dyDescent="0.3">
      <c r="A94">
        <v>5</v>
      </c>
      <c r="B94" t="s">
        <v>12</v>
      </c>
      <c r="C94">
        <v>1</v>
      </c>
      <c r="D94">
        <v>50</v>
      </c>
      <c r="E94">
        <f t="shared" si="1"/>
        <v>2</v>
      </c>
      <c r="F94" s="1" t="s">
        <v>9</v>
      </c>
      <c r="G94" s="2" t="s">
        <v>63</v>
      </c>
      <c r="H94" t="s">
        <v>64</v>
      </c>
    </row>
    <row r="95" spans="1:8" ht="15.6" x14ac:dyDescent="0.3">
      <c r="A95">
        <v>4</v>
      </c>
      <c r="B95" t="s">
        <v>12</v>
      </c>
      <c r="C95">
        <v>3</v>
      </c>
      <c r="D95">
        <v>50</v>
      </c>
      <c r="E95">
        <f t="shared" si="1"/>
        <v>6</v>
      </c>
      <c r="F95" s="1" t="s">
        <v>9</v>
      </c>
      <c r="G95" s="2" t="s">
        <v>63</v>
      </c>
      <c r="H95" t="s">
        <v>64</v>
      </c>
    </row>
    <row r="96" spans="1:8" ht="15.6" x14ac:dyDescent="0.3">
      <c r="A96">
        <v>4</v>
      </c>
      <c r="B96" t="s">
        <v>8</v>
      </c>
      <c r="C96">
        <v>4</v>
      </c>
      <c r="D96">
        <v>20</v>
      </c>
      <c r="E96">
        <f t="shared" si="1"/>
        <v>20</v>
      </c>
      <c r="F96" s="1" t="s">
        <v>9</v>
      </c>
      <c r="G96" s="2" t="s">
        <v>63</v>
      </c>
      <c r="H96" t="s">
        <v>64</v>
      </c>
    </row>
    <row r="97" spans="1:8" ht="15.6" x14ac:dyDescent="0.3">
      <c r="A97">
        <v>1</v>
      </c>
      <c r="B97" t="s">
        <v>12</v>
      </c>
      <c r="C97">
        <v>1</v>
      </c>
      <c r="D97">
        <v>50</v>
      </c>
      <c r="E97">
        <f t="shared" si="1"/>
        <v>2</v>
      </c>
      <c r="F97" s="1" t="s">
        <v>9</v>
      </c>
      <c r="G97" s="2" t="s">
        <v>63</v>
      </c>
      <c r="H97" t="s">
        <v>64</v>
      </c>
    </row>
    <row r="98" spans="1:8" ht="15.6" x14ac:dyDescent="0.3">
      <c r="A98">
        <v>3</v>
      </c>
      <c r="B98" t="s">
        <v>8</v>
      </c>
      <c r="C98">
        <v>2</v>
      </c>
      <c r="D98">
        <v>50</v>
      </c>
      <c r="E98">
        <f t="shared" si="1"/>
        <v>4</v>
      </c>
      <c r="F98" s="1" t="s">
        <v>9</v>
      </c>
      <c r="G98" s="2" t="s">
        <v>66</v>
      </c>
      <c r="H98" t="s">
        <v>67</v>
      </c>
    </row>
    <row r="99" spans="1:8" ht="15.6" x14ac:dyDescent="0.3">
      <c r="A99">
        <v>4</v>
      </c>
      <c r="B99" t="s">
        <v>8</v>
      </c>
      <c r="C99">
        <v>5</v>
      </c>
      <c r="D99">
        <v>20</v>
      </c>
      <c r="E99">
        <f t="shared" si="1"/>
        <v>25</v>
      </c>
      <c r="F99" s="1" t="s">
        <v>9</v>
      </c>
      <c r="G99" s="2" t="s">
        <v>66</v>
      </c>
      <c r="H99" t="s">
        <v>67</v>
      </c>
    </row>
    <row r="100" spans="1:8" ht="15.6" x14ac:dyDescent="0.3">
      <c r="A100">
        <v>1</v>
      </c>
      <c r="B100" t="s">
        <v>8</v>
      </c>
      <c r="C100">
        <v>3</v>
      </c>
      <c r="D100">
        <v>50</v>
      </c>
      <c r="E100">
        <f t="shared" si="1"/>
        <v>6</v>
      </c>
      <c r="F100" s="1" t="s">
        <v>9</v>
      </c>
      <c r="G100" s="2" t="s">
        <v>66</v>
      </c>
      <c r="H100" t="s">
        <v>67</v>
      </c>
    </row>
    <row r="101" spans="1:8" ht="15.6" x14ac:dyDescent="0.3">
      <c r="A101">
        <v>3</v>
      </c>
      <c r="B101" t="s">
        <v>8</v>
      </c>
      <c r="C101">
        <v>10</v>
      </c>
      <c r="D101">
        <v>50</v>
      </c>
      <c r="E101">
        <f t="shared" si="1"/>
        <v>20</v>
      </c>
      <c r="F101" s="1" t="s">
        <v>28</v>
      </c>
      <c r="G101" s="2" t="s">
        <v>68</v>
      </c>
    </row>
    <row r="102" spans="1:8" ht="15.6" x14ac:dyDescent="0.3">
      <c r="A102">
        <v>1</v>
      </c>
      <c r="B102" t="s">
        <v>8</v>
      </c>
      <c r="C102">
        <v>1</v>
      </c>
      <c r="D102">
        <v>50</v>
      </c>
      <c r="E102">
        <f t="shared" si="1"/>
        <v>2</v>
      </c>
      <c r="F102" s="1" t="s">
        <v>28</v>
      </c>
      <c r="G102" s="2" t="s">
        <v>68</v>
      </c>
    </row>
    <row r="103" spans="1:8" ht="15.6" x14ac:dyDescent="0.3">
      <c r="A103">
        <v>3</v>
      </c>
      <c r="B103" t="s">
        <v>8</v>
      </c>
      <c r="C103">
        <v>2</v>
      </c>
      <c r="D103">
        <v>50</v>
      </c>
      <c r="E103">
        <f t="shared" si="1"/>
        <v>4</v>
      </c>
      <c r="F103" s="1" t="s">
        <v>28</v>
      </c>
      <c r="G103" s="2" t="s">
        <v>69</v>
      </c>
    </row>
    <row r="104" spans="1:8" ht="15.6" x14ac:dyDescent="0.3">
      <c r="A104">
        <v>3</v>
      </c>
      <c r="B104" t="s">
        <v>12</v>
      </c>
      <c r="C104">
        <v>7</v>
      </c>
      <c r="D104">
        <v>50</v>
      </c>
      <c r="E104">
        <f t="shared" si="1"/>
        <v>14.000000000000002</v>
      </c>
      <c r="F104" s="1" t="s">
        <v>28</v>
      </c>
      <c r="G104" s="2" t="s">
        <v>69</v>
      </c>
    </row>
    <row r="105" spans="1:8" ht="15.6" x14ac:dyDescent="0.3">
      <c r="A105">
        <v>6</v>
      </c>
      <c r="B105" t="s">
        <v>12</v>
      </c>
      <c r="C105">
        <v>18</v>
      </c>
      <c r="D105">
        <v>50</v>
      </c>
      <c r="E105">
        <f t="shared" si="1"/>
        <v>36</v>
      </c>
      <c r="F105" s="1" t="s">
        <v>28</v>
      </c>
      <c r="G105" s="2" t="s">
        <v>69</v>
      </c>
    </row>
    <row r="106" spans="1:8" ht="15.6" x14ac:dyDescent="0.3">
      <c r="A106">
        <v>4</v>
      </c>
      <c r="B106" t="s">
        <v>8</v>
      </c>
      <c r="C106">
        <v>2</v>
      </c>
      <c r="D106">
        <v>20</v>
      </c>
      <c r="E106">
        <f t="shared" si="1"/>
        <v>10</v>
      </c>
      <c r="F106" s="1" t="s">
        <v>28</v>
      </c>
      <c r="G106" s="2" t="s">
        <v>69</v>
      </c>
    </row>
    <row r="107" spans="1:8" ht="15.6" x14ac:dyDescent="0.3">
      <c r="A107">
        <v>2</v>
      </c>
      <c r="B107" t="s">
        <v>12</v>
      </c>
      <c r="C107">
        <v>6</v>
      </c>
      <c r="D107">
        <v>50</v>
      </c>
      <c r="E107">
        <f t="shared" si="1"/>
        <v>12</v>
      </c>
      <c r="F107" s="1" t="s">
        <v>9</v>
      </c>
      <c r="G107" s="2" t="s">
        <v>70</v>
      </c>
      <c r="H107" t="s">
        <v>71</v>
      </c>
    </row>
    <row r="108" spans="1:8" ht="15.6" x14ac:dyDescent="0.3">
      <c r="A108">
        <v>5</v>
      </c>
      <c r="B108" t="s">
        <v>12</v>
      </c>
      <c r="C108">
        <v>1</v>
      </c>
      <c r="D108">
        <v>50</v>
      </c>
      <c r="E108">
        <f t="shared" si="1"/>
        <v>2</v>
      </c>
      <c r="F108" s="1" t="s">
        <v>9</v>
      </c>
      <c r="G108" s="2" t="s">
        <v>70</v>
      </c>
      <c r="H108" t="s">
        <v>72</v>
      </c>
    </row>
    <row r="109" spans="1:8" ht="15.6" x14ac:dyDescent="0.3">
      <c r="A109">
        <v>1</v>
      </c>
      <c r="B109" t="s">
        <v>12</v>
      </c>
      <c r="C109">
        <v>3</v>
      </c>
      <c r="D109">
        <v>50</v>
      </c>
      <c r="E109">
        <f t="shared" si="1"/>
        <v>6</v>
      </c>
      <c r="F109" s="1" t="s">
        <v>9</v>
      </c>
      <c r="G109" s="2" t="s">
        <v>70</v>
      </c>
      <c r="H109" t="s">
        <v>72</v>
      </c>
    </row>
    <row r="110" spans="1:8" ht="15.6" x14ac:dyDescent="0.3">
      <c r="A110">
        <v>3</v>
      </c>
      <c r="B110" t="s">
        <v>12</v>
      </c>
      <c r="C110">
        <v>2</v>
      </c>
      <c r="D110">
        <v>50</v>
      </c>
      <c r="E110">
        <f t="shared" si="1"/>
        <v>4</v>
      </c>
      <c r="F110" s="1" t="s">
        <v>9</v>
      </c>
      <c r="G110" s="2" t="s">
        <v>70</v>
      </c>
      <c r="H110" t="s">
        <v>72</v>
      </c>
    </row>
    <row r="111" spans="1:8" ht="15.6" x14ac:dyDescent="0.3">
      <c r="A111">
        <v>3</v>
      </c>
      <c r="B111" t="s">
        <v>8</v>
      </c>
      <c r="C111">
        <v>41</v>
      </c>
      <c r="D111">
        <v>50</v>
      </c>
      <c r="E111">
        <f t="shared" si="1"/>
        <v>82</v>
      </c>
      <c r="F111" s="1" t="s">
        <v>13</v>
      </c>
      <c r="G111" s="2" t="s">
        <v>73</v>
      </c>
      <c r="H111" t="s">
        <v>74</v>
      </c>
    </row>
    <row r="112" spans="1:8" ht="15.6" x14ac:dyDescent="0.3">
      <c r="A112">
        <v>6</v>
      </c>
      <c r="B112" t="s">
        <v>8</v>
      </c>
      <c r="C112">
        <v>5</v>
      </c>
      <c r="D112">
        <v>50</v>
      </c>
      <c r="E112">
        <f t="shared" si="1"/>
        <v>10</v>
      </c>
      <c r="F112" s="1" t="s">
        <v>13</v>
      </c>
      <c r="G112" s="2" t="s">
        <v>73</v>
      </c>
    </row>
    <row r="113" spans="1:8" ht="15.6" x14ac:dyDescent="0.3">
      <c r="A113">
        <v>5</v>
      </c>
      <c r="B113" t="s">
        <v>8</v>
      </c>
      <c r="C113">
        <v>2</v>
      </c>
      <c r="D113">
        <v>50</v>
      </c>
      <c r="E113">
        <f t="shared" si="1"/>
        <v>4</v>
      </c>
      <c r="F113" s="1" t="s">
        <v>13</v>
      </c>
      <c r="G113" s="2" t="s">
        <v>73</v>
      </c>
      <c r="H113" t="s">
        <v>74</v>
      </c>
    </row>
    <row r="114" spans="1:8" ht="15.6" x14ac:dyDescent="0.3">
      <c r="A114">
        <v>4</v>
      </c>
      <c r="B114" t="s">
        <v>8</v>
      </c>
      <c r="C114">
        <v>3</v>
      </c>
      <c r="D114">
        <v>20</v>
      </c>
      <c r="E114">
        <f t="shared" si="1"/>
        <v>15</v>
      </c>
      <c r="F114" s="1" t="s">
        <v>13</v>
      </c>
      <c r="G114" s="2" t="s">
        <v>73</v>
      </c>
      <c r="H114" t="s">
        <v>74</v>
      </c>
    </row>
    <row r="115" spans="1:8" ht="15.6" x14ac:dyDescent="0.3">
      <c r="A115">
        <v>1</v>
      </c>
      <c r="B115" t="s">
        <v>8</v>
      </c>
      <c r="C115">
        <v>20</v>
      </c>
      <c r="D115">
        <v>50</v>
      </c>
      <c r="E115">
        <f t="shared" si="1"/>
        <v>40</v>
      </c>
      <c r="F115" s="1" t="s">
        <v>13</v>
      </c>
      <c r="G115" s="2" t="s">
        <v>73</v>
      </c>
      <c r="H115" t="s">
        <v>74</v>
      </c>
    </row>
    <row r="116" spans="1:8" ht="15.6" x14ac:dyDescent="0.3">
      <c r="A116">
        <v>3</v>
      </c>
      <c r="B116" t="s">
        <v>8</v>
      </c>
      <c r="C116">
        <v>7</v>
      </c>
      <c r="D116">
        <v>50</v>
      </c>
      <c r="E116">
        <f t="shared" si="1"/>
        <v>14.000000000000002</v>
      </c>
      <c r="F116" s="1" t="s">
        <v>9</v>
      </c>
      <c r="G116" s="2" t="s">
        <v>75</v>
      </c>
      <c r="H116" t="s">
        <v>76</v>
      </c>
    </row>
    <row r="117" spans="1:8" ht="15.6" x14ac:dyDescent="0.3">
      <c r="A117">
        <v>6</v>
      </c>
      <c r="B117" t="s">
        <v>8</v>
      </c>
      <c r="C117">
        <v>3</v>
      </c>
      <c r="D117">
        <v>50</v>
      </c>
      <c r="E117">
        <f t="shared" si="1"/>
        <v>6</v>
      </c>
      <c r="F117" s="1" t="s">
        <v>9</v>
      </c>
      <c r="G117" s="2" t="s">
        <v>75</v>
      </c>
    </row>
    <row r="118" spans="1:8" ht="15.6" x14ac:dyDescent="0.3">
      <c r="A118">
        <v>2</v>
      </c>
      <c r="B118" t="s">
        <v>8</v>
      </c>
      <c r="C118">
        <v>1</v>
      </c>
      <c r="D118">
        <v>50</v>
      </c>
      <c r="E118">
        <f t="shared" si="1"/>
        <v>2</v>
      </c>
      <c r="F118" s="1" t="s">
        <v>9</v>
      </c>
      <c r="G118" s="2" t="s">
        <v>75</v>
      </c>
      <c r="H118" t="s">
        <v>76</v>
      </c>
    </row>
    <row r="119" spans="1:8" ht="15.6" x14ac:dyDescent="0.3">
      <c r="A119">
        <v>5</v>
      </c>
      <c r="B119" t="s">
        <v>8</v>
      </c>
      <c r="C119">
        <v>3</v>
      </c>
      <c r="D119">
        <v>50</v>
      </c>
      <c r="E119">
        <f t="shared" si="1"/>
        <v>6</v>
      </c>
      <c r="F119" s="1" t="s">
        <v>9</v>
      </c>
      <c r="G119" s="2" t="s">
        <v>75</v>
      </c>
      <c r="H119" t="s">
        <v>76</v>
      </c>
    </row>
    <row r="120" spans="1:8" ht="15.6" x14ac:dyDescent="0.3">
      <c r="A120">
        <v>4</v>
      </c>
      <c r="B120" t="s">
        <v>8</v>
      </c>
      <c r="C120">
        <v>15</v>
      </c>
      <c r="D120">
        <v>20</v>
      </c>
      <c r="E120">
        <f t="shared" si="1"/>
        <v>75</v>
      </c>
      <c r="F120" s="1" t="s">
        <v>9</v>
      </c>
      <c r="G120" s="2" t="s">
        <v>75</v>
      </c>
      <c r="H120" t="s">
        <v>76</v>
      </c>
    </row>
    <row r="121" spans="1:8" ht="15.6" x14ac:dyDescent="0.3">
      <c r="A121">
        <v>1</v>
      </c>
      <c r="B121" t="s">
        <v>8</v>
      </c>
      <c r="C121">
        <v>1</v>
      </c>
      <c r="D121">
        <v>50</v>
      </c>
      <c r="E121">
        <f t="shared" si="1"/>
        <v>2</v>
      </c>
      <c r="F121" s="1" t="s">
        <v>9</v>
      </c>
      <c r="G121" s="2" t="s">
        <v>75</v>
      </c>
      <c r="H121" t="s">
        <v>76</v>
      </c>
    </row>
    <row r="122" spans="1:8" ht="15.6" x14ac:dyDescent="0.3">
      <c r="A122">
        <v>3</v>
      </c>
      <c r="B122" t="s">
        <v>12</v>
      </c>
      <c r="C122">
        <v>17</v>
      </c>
      <c r="D122">
        <v>50</v>
      </c>
      <c r="E122">
        <f t="shared" si="1"/>
        <v>34</v>
      </c>
      <c r="F122" s="1" t="s">
        <v>9</v>
      </c>
      <c r="G122" s="2" t="s">
        <v>77</v>
      </c>
      <c r="H122" t="s">
        <v>78</v>
      </c>
    </row>
    <row r="123" spans="1:8" ht="15.6" x14ac:dyDescent="0.3">
      <c r="A123">
        <v>6</v>
      </c>
      <c r="B123" t="s">
        <v>12</v>
      </c>
      <c r="C123">
        <v>13</v>
      </c>
      <c r="D123">
        <v>50</v>
      </c>
      <c r="E123">
        <f t="shared" si="1"/>
        <v>26</v>
      </c>
      <c r="F123" s="1" t="s">
        <v>9</v>
      </c>
      <c r="G123" s="2" t="s">
        <v>77</v>
      </c>
    </row>
    <row r="124" spans="1:8" ht="15.6" x14ac:dyDescent="0.3">
      <c r="A124">
        <v>2</v>
      </c>
      <c r="B124" t="s">
        <v>12</v>
      </c>
      <c r="C124">
        <v>13</v>
      </c>
      <c r="D124">
        <v>50</v>
      </c>
      <c r="E124">
        <f t="shared" si="1"/>
        <v>26</v>
      </c>
      <c r="F124" s="1" t="s">
        <v>9</v>
      </c>
      <c r="G124" s="2" t="s">
        <v>77</v>
      </c>
      <c r="H124" t="s">
        <v>78</v>
      </c>
    </row>
    <row r="125" spans="1:8" ht="15.6" x14ac:dyDescent="0.3">
      <c r="A125">
        <v>5</v>
      </c>
      <c r="B125" t="s">
        <v>12</v>
      </c>
      <c r="C125">
        <v>8</v>
      </c>
      <c r="D125">
        <v>50</v>
      </c>
      <c r="E125">
        <f t="shared" si="1"/>
        <v>16</v>
      </c>
      <c r="F125" s="1" t="s">
        <v>9</v>
      </c>
      <c r="G125" s="2" t="s">
        <v>77</v>
      </c>
      <c r="H125" t="s">
        <v>78</v>
      </c>
    </row>
    <row r="126" spans="1:8" ht="15.6" x14ac:dyDescent="0.3">
      <c r="A126">
        <v>4</v>
      </c>
      <c r="B126" t="s">
        <v>12</v>
      </c>
      <c r="C126">
        <v>6</v>
      </c>
      <c r="D126">
        <v>50</v>
      </c>
      <c r="E126">
        <f t="shared" si="1"/>
        <v>12</v>
      </c>
      <c r="F126" s="1" t="s">
        <v>9</v>
      </c>
      <c r="G126" s="2" t="s">
        <v>77</v>
      </c>
      <c r="H126" t="s">
        <v>78</v>
      </c>
    </row>
    <row r="127" spans="1:8" ht="15.6" x14ac:dyDescent="0.3">
      <c r="A127">
        <v>1</v>
      </c>
      <c r="B127" t="s">
        <v>12</v>
      </c>
      <c r="C127">
        <v>5</v>
      </c>
      <c r="D127">
        <v>50</v>
      </c>
      <c r="E127">
        <f t="shared" si="1"/>
        <v>10</v>
      </c>
      <c r="F127" s="1" t="s">
        <v>9</v>
      </c>
      <c r="G127" s="2" t="s">
        <v>77</v>
      </c>
      <c r="H127" t="s">
        <v>78</v>
      </c>
    </row>
    <row r="128" spans="1:8" ht="15.6" x14ac:dyDescent="0.3">
      <c r="A128">
        <v>5</v>
      </c>
      <c r="B128" t="s">
        <v>8</v>
      </c>
      <c r="C128">
        <v>1</v>
      </c>
      <c r="D128">
        <v>50</v>
      </c>
      <c r="E128">
        <f t="shared" si="1"/>
        <v>2</v>
      </c>
      <c r="F128" s="1" t="s">
        <v>9</v>
      </c>
      <c r="G128" s="2" t="s">
        <v>79</v>
      </c>
      <c r="H128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E7BA-50D8-433A-87C7-8188C2458D78}">
  <dimension ref="A1:E101"/>
  <sheetViews>
    <sheetView workbookViewId="0">
      <selection sqref="A1:E101"/>
    </sheetView>
  </sheetViews>
  <sheetFormatPr defaultRowHeight="14.4" x14ac:dyDescent="0.3"/>
  <cols>
    <col min="1" max="1" width="34.88671875" customWidth="1"/>
    <col min="5" max="5" width="43.44140625" customWidth="1"/>
  </cols>
  <sheetData>
    <row r="1" spans="1:5" x14ac:dyDescent="0.3">
      <c r="A1" t="s">
        <v>1</v>
      </c>
      <c r="B1" t="s">
        <v>81</v>
      </c>
      <c r="C1" s="1" t="s">
        <v>5</v>
      </c>
      <c r="D1" t="s">
        <v>6</v>
      </c>
      <c r="E1" t="s">
        <v>7</v>
      </c>
    </row>
    <row r="2" spans="1:5" ht="46.8" x14ac:dyDescent="0.3">
      <c r="A2" t="s">
        <v>12</v>
      </c>
      <c r="B2">
        <v>1</v>
      </c>
      <c r="C2" s="1" t="s">
        <v>9</v>
      </c>
      <c r="D2" s="2" t="s">
        <v>10</v>
      </c>
      <c r="E2" t="s">
        <v>11</v>
      </c>
    </row>
    <row r="3" spans="1:5" ht="46.8" x14ac:dyDescent="0.3">
      <c r="A3" t="s">
        <v>12</v>
      </c>
      <c r="B3">
        <v>1</v>
      </c>
      <c r="C3" s="1" t="s">
        <v>13</v>
      </c>
      <c r="D3" s="2" t="s">
        <v>14</v>
      </c>
      <c r="E3" t="s">
        <v>15</v>
      </c>
    </row>
    <row r="4" spans="1:5" ht="46.8" x14ac:dyDescent="0.3">
      <c r="A4" t="s">
        <v>12</v>
      </c>
      <c r="C4" s="1" t="s">
        <v>13</v>
      </c>
      <c r="D4" s="2" t="s">
        <v>14</v>
      </c>
      <c r="E4" t="s">
        <v>15</v>
      </c>
    </row>
    <row r="5" spans="1:5" ht="46.8" x14ac:dyDescent="0.3">
      <c r="A5" t="s">
        <v>12</v>
      </c>
      <c r="C5" s="1" t="s">
        <v>13</v>
      </c>
      <c r="D5" s="2" t="s">
        <v>14</v>
      </c>
      <c r="E5" t="s">
        <v>15</v>
      </c>
    </row>
    <row r="6" spans="1:5" ht="31.2" x14ac:dyDescent="0.3">
      <c r="A6" t="s">
        <v>12</v>
      </c>
      <c r="B6">
        <v>1</v>
      </c>
      <c r="C6" s="1" t="s">
        <v>9</v>
      </c>
      <c r="D6" s="2" t="s">
        <v>20</v>
      </c>
      <c r="E6" t="s">
        <v>82</v>
      </c>
    </row>
    <row r="7" spans="1:5" ht="31.2" x14ac:dyDescent="0.3">
      <c r="A7" t="s">
        <v>12</v>
      </c>
      <c r="B7">
        <v>1</v>
      </c>
      <c r="C7" s="1" t="s">
        <v>9</v>
      </c>
      <c r="D7" s="2" t="s">
        <v>20</v>
      </c>
      <c r="E7" t="s">
        <v>21</v>
      </c>
    </row>
    <row r="8" spans="1:5" ht="46.8" x14ac:dyDescent="0.3">
      <c r="A8" t="s">
        <v>12</v>
      </c>
      <c r="C8" s="1" t="s">
        <v>13</v>
      </c>
      <c r="D8" s="2" t="s">
        <v>30</v>
      </c>
      <c r="E8" t="s">
        <v>31</v>
      </c>
    </row>
    <row r="9" spans="1:5" ht="46.8" x14ac:dyDescent="0.3">
      <c r="A9" t="s">
        <v>12</v>
      </c>
      <c r="C9" s="1" t="s">
        <v>13</v>
      </c>
      <c r="D9" s="2" t="s">
        <v>30</v>
      </c>
      <c r="E9" t="s">
        <v>31</v>
      </c>
    </row>
    <row r="10" spans="1:5" ht="31.2" x14ac:dyDescent="0.3">
      <c r="A10" t="s">
        <v>12</v>
      </c>
      <c r="B10">
        <v>1</v>
      </c>
      <c r="C10" s="1" t="s">
        <v>13</v>
      </c>
      <c r="D10" s="2" t="s">
        <v>34</v>
      </c>
      <c r="E10" t="s">
        <v>35</v>
      </c>
    </row>
    <row r="11" spans="1:5" ht="31.2" x14ac:dyDescent="0.3">
      <c r="A11" t="s">
        <v>12</v>
      </c>
      <c r="B11">
        <v>1</v>
      </c>
      <c r="C11" s="1" t="s">
        <v>13</v>
      </c>
      <c r="D11" s="2" t="s">
        <v>34</v>
      </c>
      <c r="E11" t="s">
        <v>35</v>
      </c>
    </row>
    <row r="12" spans="1:5" ht="31.2" x14ac:dyDescent="0.3">
      <c r="A12" t="s">
        <v>12</v>
      </c>
      <c r="C12" s="1" t="s">
        <v>13</v>
      </c>
      <c r="D12" s="2" t="s">
        <v>34</v>
      </c>
      <c r="E12" t="s">
        <v>35</v>
      </c>
    </row>
    <row r="13" spans="1:5" ht="31.2" x14ac:dyDescent="0.3">
      <c r="A13" t="s">
        <v>12</v>
      </c>
      <c r="B13">
        <v>1</v>
      </c>
      <c r="C13" s="1" t="s">
        <v>13</v>
      </c>
      <c r="D13" s="2" t="s">
        <v>34</v>
      </c>
      <c r="E13" t="s">
        <v>35</v>
      </c>
    </row>
    <row r="14" spans="1:5" ht="31.2" x14ac:dyDescent="0.3">
      <c r="A14" t="s">
        <v>12</v>
      </c>
      <c r="C14" s="1" t="s">
        <v>13</v>
      </c>
      <c r="D14" s="2" t="s">
        <v>34</v>
      </c>
      <c r="E14" t="s">
        <v>35</v>
      </c>
    </row>
    <row r="15" spans="1:5" ht="31.2" x14ac:dyDescent="0.3">
      <c r="A15" t="s">
        <v>12</v>
      </c>
      <c r="B15">
        <v>1</v>
      </c>
      <c r="C15" s="1" t="s">
        <v>9</v>
      </c>
      <c r="D15" s="2" t="s">
        <v>36</v>
      </c>
      <c r="E15" t="s">
        <v>37</v>
      </c>
    </row>
    <row r="16" spans="1:5" ht="31.2" x14ac:dyDescent="0.3">
      <c r="A16" t="s">
        <v>12</v>
      </c>
      <c r="C16" s="1" t="s">
        <v>9</v>
      </c>
      <c r="D16" s="2" t="s">
        <v>36</v>
      </c>
      <c r="E16" t="s">
        <v>37</v>
      </c>
    </row>
    <row r="17" spans="1:5" ht="31.2" x14ac:dyDescent="0.3">
      <c r="A17" t="s">
        <v>12</v>
      </c>
      <c r="C17" s="1" t="s">
        <v>83</v>
      </c>
      <c r="D17" s="2" t="s">
        <v>36</v>
      </c>
      <c r="E17" t="s">
        <v>37</v>
      </c>
    </row>
    <row r="18" spans="1:5" ht="31.2" x14ac:dyDescent="0.3">
      <c r="A18" t="s">
        <v>12</v>
      </c>
      <c r="C18" s="1" t="s">
        <v>13</v>
      </c>
      <c r="D18" s="2" t="s">
        <v>56</v>
      </c>
      <c r="E18" t="s">
        <v>57</v>
      </c>
    </row>
    <row r="19" spans="1:5" ht="62.4" x14ac:dyDescent="0.3">
      <c r="A19" t="s">
        <v>12</v>
      </c>
      <c r="B19">
        <v>1</v>
      </c>
      <c r="C19" s="1" t="s">
        <v>9</v>
      </c>
      <c r="D19" s="2" t="s">
        <v>60</v>
      </c>
      <c r="E19" t="s">
        <v>61</v>
      </c>
    </row>
    <row r="20" spans="1:5" ht="62.4" x14ac:dyDescent="0.3">
      <c r="A20" t="s">
        <v>12</v>
      </c>
      <c r="B20">
        <v>1</v>
      </c>
      <c r="C20" s="1" t="s">
        <v>9</v>
      </c>
      <c r="D20" s="2" t="s">
        <v>60</v>
      </c>
      <c r="E20" t="s">
        <v>61</v>
      </c>
    </row>
    <row r="21" spans="1:5" ht="62.4" x14ac:dyDescent="0.3">
      <c r="A21" t="s">
        <v>12</v>
      </c>
      <c r="B21">
        <v>1</v>
      </c>
      <c r="C21" s="1" t="s">
        <v>28</v>
      </c>
      <c r="D21" s="2" t="s">
        <v>62</v>
      </c>
    </row>
    <row r="22" spans="1:5" ht="46.8" x14ac:dyDescent="0.3">
      <c r="A22" t="s">
        <v>12</v>
      </c>
      <c r="B22">
        <v>1</v>
      </c>
      <c r="C22" s="1" t="s">
        <v>9</v>
      </c>
      <c r="D22" s="2" t="s">
        <v>63</v>
      </c>
      <c r="E22" t="s">
        <v>64</v>
      </c>
    </row>
    <row r="23" spans="1:5" ht="46.8" x14ac:dyDescent="0.3">
      <c r="A23" t="s">
        <v>12</v>
      </c>
      <c r="C23" s="1" t="s">
        <v>9</v>
      </c>
      <c r="D23" s="2" t="s">
        <v>63</v>
      </c>
      <c r="E23" t="s">
        <v>64</v>
      </c>
    </row>
    <row r="24" spans="1:5" ht="46.8" x14ac:dyDescent="0.3">
      <c r="A24" t="s">
        <v>12</v>
      </c>
      <c r="B24">
        <v>1</v>
      </c>
      <c r="C24" s="1" t="s">
        <v>9</v>
      </c>
      <c r="D24" s="2" t="s">
        <v>63</v>
      </c>
      <c r="E24" t="s">
        <v>64</v>
      </c>
    </row>
    <row r="25" spans="1:5" ht="46.8" x14ac:dyDescent="0.3">
      <c r="A25" t="s">
        <v>12</v>
      </c>
      <c r="C25" s="1" t="s">
        <v>83</v>
      </c>
      <c r="D25" s="2" t="s">
        <v>63</v>
      </c>
      <c r="E25" t="s">
        <v>64</v>
      </c>
    </row>
    <row r="26" spans="1:5" ht="46.8" x14ac:dyDescent="0.3">
      <c r="A26" t="s">
        <v>12</v>
      </c>
      <c r="B26">
        <v>1</v>
      </c>
      <c r="C26" s="1" t="s">
        <v>9</v>
      </c>
      <c r="D26" s="2" t="s">
        <v>63</v>
      </c>
      <c r="E26" t="s">
        <v>64</v>
      </c>
    </row>
    <row r="27" spans="1:5" ht="78" x14ac:dyDescent="0.3">
      <c r="A27" t="s">
        <v>12</v>
      </c>
      <c r="B27">
        <v>1</v>
      </c>
      <c r="C27" s="1" t="s">
        <v>28</v>
      </c>
      <c r="D27" s="2" t="s">
        <v>69</v>
      </c>
    </row>
    <row r="28" spans="1:5" ht="78" x14ac:dyDescent="0.3">
      <c r="A28" t="s">
        <v>12</v>
      </c>
      <c r="B28">
        <v>1</v>
      </c>
      <c r="C28" s="1" t="s">
        <v>28</v>
      </c>
      <c r="D28" s="2" t="s">
        <v>69</v>
      </c>
    </row>
    <row r="29" spans="1:5" ht="78" x14ac:dyDescent="0.3">
      <c r="A29" t="s">
        <v>12</v>
      </c>
      <c r="B29">
        <v>1</v>
      </c>
      <c r="C29" s="1" t="s">
        <v>28</v>
      </c>
      <c r="D29" s="2" t="s">
        <v>69</v>
      </c>
    </row>
    <row r="30" spans="1:5" ht="46.8" x14ac:dyDescent="0.3">
      <c r="A30" t="s">
        <v>12</v>
      </c>
      <c r="B30">
        <v>1</v>
      </c>
      <c r="C30" s="1" t="s">
        <v>9</v>
      </c>
      <c r="D30" s="2" t="s">
        <v>70</v>
      </c>
      <c r="E30" t="s">
        <v>72</v>
      </c>
    </row>
    <row r="31" spans="1:5" ht="46.8" x14ac:dyDescent="0.3">
      <c r="A31" t="s">
        <v>12</v>
      </c>
      <c r="B31">
        <v>1</v>
      </c>
      <c r="C31" s="1" t="s">
        <v>9</v>
      </c>
      <c r="D31" s="2" t="s">
        <v>70</v>
      </c>
      <c r="E31" t="s">
        <v>93</v>
      </c>
    </row>
    <row r="32" spans="1:5" ht="46.8" x14ac:dyDescent="0.3">
      <c r="A32" t="s">
        <v>12</v>
      </c>
      <c r="C32" s="1" t="s">
        <v>9</v>
      </c>
      <c r="D32" s="2" t="s">
        <v>70</v>
      </c>
      <c r="E32" t="s">
        <v>72</v>
      </c>
    </row>
    <row r="33" spans="1:5" ht="46.8" x14ac:dyDescent="0.3">
      <c r="A33" t="s">
        <v>12</v>
      </c>
      <c r="C33" s="1" t="s">
        <v>83</v>
      </c>
      <c r="D33" s="2" t="s">
        <v>70</v>
      </c>
      <c r="E33" t="s">
        <v>94</v>
      </c>
    </row>
    <row r="34" spans="1:5" ht="62.4" x14ac:dyDescent="0.3">
      <c r="A34" t="s">
        <v>12</v>
      </c>
      <c r="B34">
        <v>1</v>
      </c>
      <c r="C34" s="1" t="s">
        <v>9</v>
      </c>
      <c r="D34" s="2" t="s">
        <v>77</v>
      </c>
      <c r="E34" t="s">
        <v>78</v>
      </c>
    </row>
    <row r="35" spans="1:5" ht="62.4" x14ac:dyDescent="0.3">
      <c r="A35" t="s">
        <v>12</v>
      </c>
      <c r="C35" s="1" t="s">
        <v>9</v>
      </c>
      <c r="D35" s="2" t="s">
        <v>77</v>
      </c>
      <c r="E35" t="s">
        <v>78</v>
      </c>
    </row>
    <row r="36" spans="1:5" ht="46.8" x14ac:dyDescent="0.3">
      <c r="A36" t="s">
        <v>8</v>
      </c>
      <c r="B36">
        <v>1</v>
      </c>
      <c r="C36" s="1" t="s">
        <v>9</v>
      </c>
      <c r="D36" s="2" t="s">
        <v>10</v>
      </c>
      <c r="E36" t="s">
        <v>11</v>
      </c>
    </row>
    <row r="37" spans="1:5" ht="46.8" x14ac:dyDescent="0.3">
      <c r="A37" t="s">
        <v>8</v>
      </c>
      <c r="B37">
        <v>2</v>
      </c>
      <c r="C37" s="1" t="s">
        <v>9</v>
      </c>
      <c r="D37" s="2" t="s">
        <v>10</v>
      </c>
      <c r="E37" t="s">
        <v>11</v>
      </c>
    </row>
    <row r="38" spans="1:5" ht="46.8" x14ac:dyDescent="0.3">
      <c r="A38" t="s">
        <v>8</v>
      </c>
      <c r="B38">
        <v>1</v>
      </c>
      <c r="C38" s="1" t="s">
        <v>13</v>
      </c>
      <c r="D38" s="2" t="s">
        <v>14</v>
      </c>
      <c r="E38" t="s">
        <v>15</v>
      </c>
    </row>
    <row r="39" spans="1:5" ht="31.2" x14ac:dyDescent="0.3">
      <c r="A39" t="s">
        <v>8</v>
      </c>
      <c r="C39" s="1" t="s">
        <v>13</v>
      </c>
      <c r="D39" s="2" t="s">
        <v>18</v>
      </c>
      <c r="E39" t="s">
        <v>19</v>
      </c>
    </row>
    <row r="40" spans="1:5" ht="31.2" x14ac:dyDescent="0.3">
      <c r="A40" t="s">
        <v>8</v>
      </c>
      <c r="C40" s="1" t="s">
        <v>13</v>
      </c>
      <c r="D40" s="2" t="s">
        <v>18</v>
      </c>
      <c r="E40" t="s">
        <v>19</v>
      </c>
    </row>
    <row r="41" spans="1:5" ht="31.2" x14ac:dyDescent="0.3">
      <c r="A41" t="s">
        <v>8</v>
      </c>
      <c r="C41" s="1" t="s">
        <v>83</v>
      </c>
      <c r="D41" s="2" t="s">
        <v>20</v>
      </c>
      <c r="E41" t="s">
        <v>21</v>
      </c>
    </row>
    <row r="42" spans="1:5" ht="46.8" x14ac:dyDescent="0.3">
      <c r="A42" t="s">
        <v>8</v>
      </c>
      <c r="B42">
        <v>1</v>
      </c>
      <c r="C42" s="1" t="s">
        <v>13</v>
      </c>
      <c r="D42" s="2" t="s">
        <v>22</v>
      </c>
      <c r="E42" t="s">
        <v>23</v>
      </c>
    </row>
    <row r="43" spans="1:5" ht="46.8" x14ac:dyDescent="0.3">
      <c r="A43" t="s">
        <v>8</v>
      </c>
      <c r="C43" s="1" t="s">
        <v>13</v>
      </c>
      <c r="D43" s="2" t="s">
        <v>22</v>
      </c>
      <c r="E43" t="s">
        <v>23</v>
      </c>
    </row>
    <row r="44" spans="1:5" ht="46.8" x14ac:dyDescent="0.3">
      <c r="A44" t="s">
        <v>8</v>
      </c>
      <c r="C44" s="1" t="s">
        <v>13</v>
      </c>
      <c r="D44" s="2" t="s">
        <v>22</v>
      </c>
      <c r="E44" t="s">
        <v>23</v>
      </c>
    </row>
    <row r="45" spans="1:5" ht="31.2" x14ac:dyDescent="0.3">
      <c r="A45" t="s">
        <v>8</v>
      </c>
      <c r="B45">
        <v>1</v>
      </c>
      <c r="C45" s="1" t="s">
        <v>13</v>
      </c>
      <c r="D45" s="2" t="s">
        <v>24</v>
      </c>
      <c r="E45" t="s">
        <v>25</v>
      </c>
    </row>
    <row r="46" spans="1:5" ht="31.2" x14ac:dyDescent="0.3">
      <c r="A46" t="s">
        <v>8</v>
      </c>
      <c r="B46">
        <v>2</v>
      </c>
      <c r="C46" s="1" t="s">
        <v>13</v>
      </c>
      <c r="D46" s="2" t="s">
        <v>24</v>
      </c>
      <c r="E46" t="s">
        <v>25</v>
      </c>
    </row>
    <row r="47" spans="1:5" ht="31.2" x14ac:dyDescent="0.3">
      <c r="A47" t="s">
        <v>8</v>
      </c>
      <c r="C47" s="1" t="s">
        <v>13</v>
      </c>
      <c r="D47" s="2" t="s">
        <v>24</v>
      </c>
      <c r="E47" t="s">
        <v>25</v>
      </c>
    </row>
    <row r="48" spans="1:5" ht="31.2" x14ac:dyDescent="0.3">
      <c r="A48" t="s">
        <v>8</v>
      </c>
      <c r="C48" s="1" t="s">
        <v>13</v>
      </c>
      <c r="D48" s="2" t="s">
        <v>24</v>
      </c>
      <c r="E48" t="s">
        <v>25</v>
      </c>
    </row>
    <row r="49" spans="1:5" ht="62.4" x14ac:dyDescent="0.3">
      <c r="A49" t="s">
        <v>8</v>
      </c>
      <c r="B49">
        <v>1</v>
      </c>
      <c r="C49" s="1" t="s">
        <v>28</v>
      </c>
      <c r="D49" s="2" t="s">
        <v>32</v>
      </c>
    </row>
    <row r="50" spans="1:5" ht="62.4" x14ac:dyDescent="0.3">
      <c r="A50" t="s">
        <v>8</v>
      </c>
      <c r="B50">
        <v>1</v>
      </c>
      <c r="C50" s="1" t="s">
        <v>28</v>
      </c>
      <c r="D50" s="2" t="s">
        <v>32</v>
      </c>
    </row>
    <row r="51" spans="1:5" ht="31.2" x14ac:dyDescent="0.3">
      <c r="A51" t="s">
        <v>8</v>
      </c>
      <c r="C51" s="1" t="s">
        <v>9</v>
      </c>
      <c r="D51" s="2" t="s">
        <v>84</v>
      </c>
      <c r="E51" t="s">
        <v>85</v>
      </c>
    </row>
    <row r="52" spans="1:5" ht="31.2" x14ac:dyDescent="0.3">
      <c r="A52" t="s">
        <v>8</v>
      </c>
      <c r="B52">
        <v>1</v>
      </c>
      <c r="C52" s="1" t="s">
        <v>13</v>
      </c>
      <c r="D52" s="2" t="s">
        <v>34</v>
      </c>
      <c r="E52" t="s">
        <v>35</v>
      </c>
    </row>
    <row r="53" spans="1:5" ht="31.2" x14ac:dyDescent="0.3">
      <c r="A53" t="s">
        <v>8</v>
      </c>
      <c r="B53">
        <v>1</v>
      </c>
      <c r="C53" s="1" t="s">
        <v>13</v>
      </c>
      <c r="D53" s="2" t="s">
        <v>34</v>
      </c>
      <c r="E53" t="s">
        <v>35</v>
      </c>
    </row>
    <row r="54" spans="1:5" ht="31.2" x14ac:dyDescent="0.3">
      <c r="A54" t="s">
        <v>8</v>
      </c>
      <c r="B54">
        <v>2</v>
      </c>
      <c r="C54" s="1" t="s">
        <v>13</v>
      </c>
      <c r="D54" s="2" t="s">
        <v>34</v>
      </c>
      <c r="E54" t="s">
        <v>86</v>
      </c>
    </row>
    <row r="55" spans="1:5" ht="31.2" x14ac:dyDescent="0.3">
      <c r="A55" t="s">
        <v>8</v>
      </c>
      <c r="C55" s="1" t="s">
        <v>13</v>
      </c>
      <c r="D55" s="2" t="s">
        <v>34</v>
      </c>
      <c r="E55" t="s">
        <v>35</v>
      </c>
    </row>
    <row r="56" spans="1:5" ht="31.2" x14ac:dyDescent="0.3">
      <c r="A56" t="s">
        <v>8</v>
      </c>
      <c r="B56">
        <v>1</v>
      </c>
      <c r="C56" s="1" t="s">
        <v>13</v>
      </c>
      <c r="D56" s="2" t="s">
        <v>34</v>
      </c>
      <c r="E56" t="s">
        <v>35</v>
      </c>
    </row>
    <row r="57" spans="1:5" ht="31.2" x14ac:dyDescent="0.3">
      <c r="A57" t="s">
        <v>8</v>
      </c>
      <c r="C57" s="1" t="s">
        <v>13</v>
      </c>
      <c r="D57" s="2" t="s">
        <v>34</v>
      </c>
      <c r="E57" t="s">
        <v>35</v>
      </c>
    </row>
    <row r="58" spans="1:5" ht="31.2" x14ac:dyDescent="0.3">
      <c r="A58" t="s">
        <v>8</v>
      </c>
      <c r="C58" s="1" t="s">
        <v>9</v>
      </c>
      <c r="D58" s="2" t="s">
        <v>38</v>
      </c>
      <c r="E58" t="s">
        <v>39</v>
      </c>
    </row>
    <row r="59" spans="1:5" ht="31.2" x14ac:dyDescent="0.3">
      <c r="A59" t="s">
        <v>8</v>
      </c>
      <c r="C59" s="1" t="s">
        <v>83</v>
      </c>
      <c r="D59" s="2" t="s">
        <v>38</v>
      </c>
      <c r="E59" t="s">
        <v>39</v>
      </c>
    </row>
    <row r="60" spans="1:5" ht="31.2" x14ac:dyDescent="0.3">
      <c r="A60" t="s">
        <v>8</v>
      </c>
      <c r="B60">
        <v>1</v>
      </c>
      <c r="C60" s="1" t="s">
        <v>9</v>
      </c>
      <c r="D60" s="2" t="s">
        <v>40</v>
      </c>
      <c r="E60" t="s">
        <v>41</v>
      </c>
    </row>
    <row r="61" spans="1:5" ht="31.2" x14ac:dyDescent="0.3">
      <c r="A61" t="s">
        <v>8</v>
      </c>
      <c r="B61">
        <v>2</v>
      </c>
      <c r="C61" s="1" t="s">
        <v>9</v>
      </c>
      <c r="D61" s="2" t="s">
        <v>40</v>
      </c>
      <c r="E61" t="s">
        <v>41</v>
      </c>
    </row>
    <row r="62" spans="1:5" ht="31.2" x14ac:dyDescent="0.3">
      <c r="A62" t="s">
        <v>8</v>
      </c>
      <c r="C62" s="1" t="s">
        <v>9</v>
      </c>
      <c r="D62" s="2" t="s">
        <v>40</v>
      </c>
      <c r="E62" t="s">
        <v>41</v>
      </c>
    </row>
    <row r="63" spans="1:5" ht="31.2" x14ac:dyDescent="0.3">
      <c r="A63" t="s">
        <v>8</v>
      </c>
      <c r="C63" s="1" t="s">
        <v>83</v>
      </c>
      <c r="D63" s="2" t="s">
        <v>40</v>
      </c>
      <c r="E63" t="s">
        <v>41</v>
      </c>
    </row>
    <row r="64" spans="1:5" ht="62.4" x14ac:dyDescent="0.3">
      <c r="A64" t="s">
        <v>8</v>
      </c>
      <c r="B64">
        <v>1</v>
      </c>
      <c r="C64" s="1" t="s">
        <v>9</v>
      </c>
      <c r="D64" s="2" t="s">
        <v>42</v>
      </c>
      <c r="E64" t="s">
        <v>43</v>
      </c>
    </row>
    <row r="65" spans="1:5" ht="62.4" x14ac:dyDescent="0.3">
      <c r="A65" t="s">
        <v>8</v>
      </c>
      <c r="B65">
        <v>2</v>
      </c>
      <c r="C65" s="1" t="s">
        <v>9</v>
      </c>
      <c r="D65" s="2" t="s">
        <v>42</v>
      </c>
      <c r="E65" t="s">
        <v>43</v>
      </c>
    </row>
    <row r="66" spans="1:5" ht="62.4" x14ac:dyDescent="0.3">
      <c r="A66" t="s">
        <v>8</v>
      </c>
      <c r="C66" s="1" t="s">
        <v>9</v>
      </c>
      <c r="D66" s="2" t="s">
        <v>42</v>
      </c>
      <c r="E66" t="s">
        <v>43</v>
      </c>
    </row>
    <row r="67" spans="1:5" ht="62.4" x14ac:dyDescent="0.3">
      <c r="A67" t="s">
        <v>8</v>
      </c>
      <c r="C67" s="1" t="s">
        <v>83</v>
      </c>
      <c r="D67" s="2" t="s">
        <v>42</v>
      </c>
      <c r="E67" t="s">
        <v>43</v>
      </c>
    </row>
    <row r="68" spans="1:5" ht="62.4" x14ac:dyDescent="0.3">
      <c r="A68" t="s">
        <v>8</v>
      </c>
      <c r="B68">
        <v>2</v>
      </c>
      <c r="C68" s="1" t="s">
        <v>13</v>
      </c>
      <c r="D68" s="2" t="s">
        <v>44</v>
      </c>
      <c r="E68" t="s">
        <v>45</v>
      </c>
    </row>
    <row r="69" spans="1:5" ht="31.2" x14ac:dyDescent="0.3">
      <c r="A69" t="s">
        <v>8</v>
      </c>
      <c r="B69">
        <v>1</v>
      </c>
      <c r="C69" s="1" t="s">
        <v>9</v>
      </c>
      <c r="D69" s="2" t="s">
        <v>87</v>
      </c>
      <c r="E69" t="s">
        <v>88</v>
      </c>
    </row>
    <row r="70" spans="1:5" ht="31.2" x14ac:dyDescent="0.3">
      <c r="A70" t="s">
        <v>8</v>
      </c>
      <c r="C70" s="1" t="s">
        <v>83</v>
      </c>
      <c r="D70" s="2" t="s">
        <v>87</v>
      </c>
      <c r="E70" t="s">
        <v>88</v>
      </c>
    </row>
    <row r="71" spans="1:5" ht="46.8" x14ac:dyDescent="0.3">
      <c r="A71" t="s">
        <v>8</v>
      </c>
      <c r="B71">
        <v>1</v>
      </c>
      <c r="C71" s="1" t="s">
        <v>9</v>
      </c>
      <c r="D71" s="2" t="s">
        <v>49</v>
      </c>
      <c r="E71" t="s">
        <v>50</v>
      </c>
    </row>
    <row r="72" spans="1:5" ht="46.8" x14ac:dyDescent="0.3">
      <c r="A72" t="s">
        <v>8</v>
      </c>
      <c r="C72" s="1" t="s">
        <v>9</v>
      </c>
      <c r="D72" s="2" t="s">
        <v>49</v>
      </c>
      <c r="E72" t="s">
        <v>50</v>
      </c>
    </row>
    <row r="73" spans="1:5" ht="46.8" x14ac:dyDescent="0.3">
      <c r="A73" t="s">
        <v>8</v>
      </c>
      <c r="B73">
        <v>2</v>
      </c>
      <c r="C73" s="1" t="s">
        <v>9</v>
      </c>
      <c r="D73" s="2" t="s">
        <v>51</v>
      </c>
      <c r="E73" t="s">
        <v>53</v>
      </c>
    </row>
    <row r="74" spans="1:5" ht="46.8" x14ac:dyDescent="0.3">
      <c r="A74" t="s">
        <v>8</v>
      </c>
      <c r="C74" s="1" t="s">
        <v>9</v>
      </c>
      <c r="D74" s="2" t="s">
        <v>51</v>
      </c>
      <c r="E74" t="s">
        <v>53</v>
      </c>
    </row>
    <row r="75" spans="1:5" ht="46.8" x14ac:dyDescent="0.3">
      <c r="A75" t="s">
        <v>8</v>
      </c>
      <c r="C75" s="1" t="s">
        <v>83</v>
      </c>
      <c r="D75" s="2" t="s">
        <v>51</v>
      </c>
      <c r="E75" t="s">
        <v>53</v>
      </c>
    </row>
    <row r="76" spans="1:5" ht="62.4" x14ac:dyDescent="0.3">
      <c r="A76" t="s">
        <v>8</v>
      </c>
      <c r="B76">
        <v>1</v>
      </c>
      <c r="C76" s="1" t="s">
        <v>9</v>
      </c>
      <c r="D76" s="2" t="s">
        <v>58</v>
      </c>
      <c r="E76" t="s">
        <v>59</v>
      </c>
    </row>
    <row r="77" spans="1:5" ht="62.4" x14ac:dyDescent="0.3">
      <c r="A77" t="s">
        <v>8</v>
      </c>
      <c r="B77">
        <v>2</v>
      </c>
      <c r="C77" s="1" t="s">
        <v>9</v>
      </c>
      <c r="D77" s="2" t="s">
        <v>58</v>
      </c>
      <c r="E77" t="s">
        <v>59</v>
      </c>
    </row>
    <row r="78" spans="1:5" ht="62.4" x14ac:dyDescent="0.3">
      <c r="A78" t="s">
        <v>8</v>
      </c>
      <c r="C78" s="1" t="s">
        <v>9</v>
      </c>
      <c r="D78" s="2" t="s">
        <v>58</v>
      </c>
      <c r="E78" t="s">
        <v>59</v>
      </c>
    </row>
    <row r="79" spans="1:5" ht="62.4" x14ac:dyDescent="0.3">
      <c r="A79" t="s">
        <v>8</v>
      </c>
      <c r="C79" s="1" t="s">
        <v>83</v>
      </c>
      <c r="D79" s="2" t="s">
        <v>58</v>
      </c>
      <c r="E79" t="s">
        <v>59</v>
      </c>
    </row>
    <row r="80" spans="1:5" ht="62.4" x14ac:dyDescent="0.3">
      <c r="A80" t="s">
        <v>8</v>
      </c>
      <c r="B80">
        <v>1</v>
      </c>
      <c r="C80" s="1" t="s">
        <v>9</v>
      </c>
      <c r="D80" s="2" t="s">
        <v>60</v>
      </c>
      <c r="E80" t="s">
        <v>61</v>
      </c>
    </row>
    <row r="81" spans="1:5" ht="62.4" x14ac:dyDescent="0.3">
      <c r="A81" t="s">
        <v>8</v>
      </c>
      <c r="B81">
        <v>2</v>
      </c>
      <c r="C81" s="1" t="s">
        <v>9</v>
      </c>
      <c r="D81" s="2" t="s">
        <v>60</v>
      </c>
      <c r="E81" t="s">
        <v>61</v>
      </c>
    </row>
    <row r="82" spans="1:5" ht="62.4" x14ac:dyDescent="0.3">
      <c r="A82" t="s">
        <v>8</v>
      </c>
      <c r="C82" s="1" t="s">
        <v>83</v>
      </c>
      <c r="D82" s="2" t="s">
        <v>60</v>
      </c>
      <c r="E82" t="s">
        <v>61</v>
      </c>
    </row>
    <row r="83" spans="1:5" ht="62.4" x14ac:dyDescent="0.3">
      <c r="A83" t="s">
        <v>8</v>
      </c>
      <c r="C83" s="1" t="s">
        <v>83</v>
      </c>
      <c r="D83" s="2" t="s">
        <v>89</v>
      </c>
      <c r="E83" t="s">
        <v>90</v>
      </c>
    </row>
    <row r="84" spans="1:5" ht="62.4" x14ac:dyDescent="0.3">
      <c r="A84" t="s">
        <v>8</v>
      </c>
      <c r="B84">
        <v>1</v>
      </c>
      <c r="C84" s="1" t="s">
        <v>9</v>
      </c>
      <c r="D84" s="2" t="s">
        <v>66</v>
      </c>
      <c r="E84" t="s">
        <v>67</v>
      </c>
    </row>
    <row r="85" spans="1:5" ht="62.4" x14ac:dyDescent="0.3">
      <c r="A85" t="s">
        <v>8</v>
      </c>
      <c r="B85">
        <v>1</v>
      </c>
      <c r="C85" s="1" t="s">
        <v>28</v>
      </c>
      <c r="D85" s="2" t="s">
        <v>68</v>
      </c>
    </row>
    <row r="86" spans="1:5" ht="62.4" x14ac:dyDescent="0.3">
      <c r="A86" t="s">
        <v>8</v>
      </c>
      <c r="C86" s="1" t="s">
        <v>28</v>
      </c>
      <c r="D86" s="2" t="s">
        <v>68</v>
      </c>
    </row>
    <row r="87" spans="1:5" ht="62.4" x14ac:dyDescent="0.3">
      <c r="A87" t="s">
        <v>8</v>
      </c>
      <c r="B87">
        <v>2</v>
      </c>
      <c r="C87" s="1" t="s">
        <v>9</v>
      </c>
      <c r="D87" s="2" t="s">
        <v>91</v>
      </c>
      <c r="E87" t="s">
        <v>92</v>
      </c>
    </row>
    <row r="88" spans="1:5" ht="62.4" x14ac:dyDescent="0.3">
      <c r="A88" t="s">
        <v>8</v>
      </c>
      <c r="C88" s="1" t="s">
        <v>83</v>
      </c>
      <c r="D88" s="2" t="s">
        <v>91</v>
      </c>
      <c r="E88" t="s">
        <v>92</v>
      </c>
    </row>
    <row r="89" spans="1:5" ht="78" x14ac:dyDescent="0.3">
      <c r="A89" t="s">
        <v>8</v>
      </c>
      <c r="B89">
        <v>1</v>
      </c>
      <c r="C89" s="1" t="s">
        <v>28</v>
      </c>
      <c r="D89" s="2" t="s">
        <v>69</v>
      </c>
    </row>
    <row r="90" spans="1:5" ht="78" x14ac:dyDescent="0.3">
      <c r="A90" t="s">
        <v>8</v>
      </c>
      <c r="C90" s="1" t="s">
        <v>28</v>
      </c>
      <c r="D90" s="2" t="s">
        <v>69</v>
      </c>
    </row>
    <row r="91" spans="1:5" ht="46.8" x14ac:dyDescent="0.3">
      <c r="A91" t="s">
        <v>8</v>
      </c>
      <c r="B91">
        <v>1</v>
      </c>
      <c r="C91" s="1" t="s">
        <v>13</v>
      </c>
      <c r="D91" s="2" t="s">
        <v>73</v>
      </c>
      <c r="E91" t="s">
        <v>74</v>
      </c>
    </row>
    <row r="92" spans="1:5" ht="46.8" x14ac:dyDescent="0.3">
      <c r="A92" t="s">
        <v>8</v>
      </c>
      <c r="B92">
        <v>2</v>
      </c>
      <c r="C92" s="1" t="s">
        <v>13</v>
      </c>
      <c r="D92" s="2" t="s">
        <v>73</v>
      </c>
      <c r="E92" t="s">
        <v>74</v>
      </c>
    </row>
    <row r="93" spans="1:5" ht="46.8" x14ac:dyDescent="0.3">
      <c r="A93" t="s">
        <v>8</v>
      </c>
      <c r="C93" s="1" t="s">
        <v>13</v>
      </c>
      <c r="D93" s="2" t="s">
        <v>73</v>
      </c>
      <c r="E93" t="s">
        <v>74</v>
      </c>
    </row>
    <row r="94" spans="1:5" ht="46.8" x14ac:dyDescent="0.3">
      <c r="A94" t="s">
        <v>8</v>
      </c>
      <c r="C94" s="1" t="s">
        <v>13</v>
      </c>
      <c r="D94" s="2" t="s">
        <v>73</v>
      </c>
      <c r="E94" t="s">
        <v>74</v>
      </c>
    </row>
    <row r="95" spans="1:5" ht="46.8" x14ac:dyDescent="0.3">
      <c r="A95" t="s">
        <v>8</v>
      </c>
      <c r="B95">
        <v>1</v>
      </c>
      <c r="C95" s="1" t="s">
        <v>9</v>
      </c>
      <c r="D95" s="2" t="s">
        <v>75</v>
      </c>
      <c r="E95" t="s">
        <v>76</v>
      </c>
    </row>
    <row r="96" spans="1:5" ht="46.8" x14ac:dyDescent="0.3">
      <c r="A96" t="s">
        <v>8</v>
      </c>
      <c r="B96">
        <v>2</v>
      </c>
      <c r="C96" s="1" t="s">
        <v>9</v>
      </c>
      <c r="D96" s="2" t="s">
        <v>75</v>
      </c>
      <c r="E96" t="s">
        <v>76</v>
      </c>
    </row>
    <row r="97" spans="1:5" ht="46.8" x14ac:dyDescent="0.3">
      <c r="A97" t="s">
        <v>8</v>
      </c>
      <c r="C97" s="1" t="s">
        <v>9</v>
      </c>
      <c r="D97" s="2" t="s">
        <v>75</v>
      </c>
      <c r="E97" t="s">
        <v>76</v>
      </c>
    </row>
    <row r="98" spans="1:5" ht="46.8" x14ac:dyDescent="0.3">
      <c r="A98" t="s">
        <v>8</v>
      </c>
      <c r="C98" s="1" t="s">
        <v>83</v>
      </c>
      <c r="D98" s="2" t="s">
        <v>75</v>
      </c>
      <c r="E98" t="s">
        <v>76</v>
      </c>
    </row>
    <row r="99" spans="1:5" ht="46.8" x14ac:dyDescent="0.3">
      <c r="A99" t="s">
        <v>8</v>
      </c>
      <c r="B99">
        <v>1</v>
      </c>
      <c r="C99" s="1" t="s">
        <v>9</v>
      </c>
      <c r="D99" s="2" t="s">
        <v>95</v>
      </c>
      <c r="E99" t="s">
        <v>96</v>
      </c>
    </row>
    <row r="100" spans="1:5" ht="31.2" x14ac:dyDescent="0.3">
      <c r="A100" t="s">
        <v>8</v>
      </c>
      <c r="C100" s="1" t="s">
        <v>83</v>
      </c>
      <c r="D100" s="2" t="s">
        <v>79</v>
      </c>
      <c r="E100" t="s">
        <v>80</v>
      </c>
    </row>
    <row r="101" spans="1:5" ht="31.2" x14ac:dyDescent="0.3">
      <c r="A101" t="s">
        <v>8</v>
      </c>
      <c r="C101" s="1" t="s">
        <v>9</v>
      </c>
      <c r="D101" s="2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5C87-CF30-4957-8EA4-7291F9F43C2F}">
  <sheetPr>
    <tabColor rgb="FFCCFF99"/>
  </sheetPr>
  <dimension ref="A1:L101"/>
  <sheetViews>
    <sheetView zoomScale="60" zoomScaleNormal="60" workbookViewId="0">
      <selection activeCell="E101" sqref="E1:E101"/>
    </sheetView>
  </sheetViews>
  <sheetFormatPr defaultColWidth="29.44140625" defaultRowHeight="14.4" x14ac:dyDescent="0.3"/>
  <cols>
    <col min="1" max="1" width="6.109375" bestFit="1" customWidth="1"/>
    <col min="2" max="2" width="19.33203125" bestFit="1" customWidth="1"/>
    <col min="3" max="3" width="7.88671875" bestFit="1" customWidth="1"/>
    <col min="4" max="4" width="25.5546875" style="1" bestFit="1" customWidth="1"/>
  </cols>
  <sheetData>
    <row r="1" spans="1:12" x14ac:dyDescent="0.3">
      <c r="A1" t="s">
        <v>0</v>
      </c>
      <c r="B1" t="s">
        <v>1</v>
      </c>
      <c r="C1" t="s">
        <v>81</v>
      </c>
      <c r="D1" s="1" t="s">
        <v>5</v>
      </c>
      <c r="E1" t="s">
        <v>6</v>
      </c>
      <c r="F1" t="s">
        <v>7</v>
      </c>
    </row>
    <row r="2" spans="1:12" ht="15.6" x14ac:dyDescent="0.3">
      <c r="A2">
        <v>4</v>
      </c>
      <c r="B2" t="s">
        <v>12</v>
      </c>
      <c r="C2">
        <v>1</v>
      </c>
      <c r="D2" s="1" t="s">
        <v>9</v>
      </c>
      <c r="E2" s="2" t="s">
        <v>10</v>
      </c>
      <c r="F2" t="s">
        <v>11</v>
      </c>
    </row>
    <row r="3" spans="1:12" ht="15.6" x14ac:dyDescent="0.3">
      <c r="A3">
        <v>3</v>
      </c>
      <c r="B3" t="s">
        <v>12</v>
      </c>
      <c r="C3">
        <v>1</v>
      </c>
      <c r="D3" s="1" t="s">
        <v>13</v>
      </c>
      <c r="E3" s="2" t="s">
        <v>14</v>
      </c>
      <c r="F3" t="s">
        <v>15</v>
      </c>
    </row>
    <row r="4" spans="1:12" ht="15.6" x14ac:dyDescent="0.3">
      <c r="A4">
        <v>5</v>
      </c>
      <c r="B4" t="s">
        <v>12</v>
      </c>
      <c r="D4" s="1" t="s">
        <v>13</v>
      </c>
      <c r="E4" s="2" t="s">
        <v>14</v>
      </c>
      <c r="F4" t="s">
        <v>15</v>
      </c>
      <c r="I4" t="s">
        <v>417</v>
      </c>
      <c r="J4" t="s">
        <v>411</v>
      </c>
      <c r="K4" t="s">
        <v>412</v>
      </c>
      <c r="L4" t="s">
        <v>413</v>
      </c>
    </row>
    <row r="5" spans="1:12" ht="15.6" x14ac:dyDescent="0.3">
      <c r="A5">
        <v>1</v>
      </c>
      <c r="B5" t="s">
        <v>12</v>
      </c>
      <c r="D5" s="1" t="s">
        <v>13</v>
      </c>
      <c r="E5" s="2" t="s">
        <v>14</v>
      </c>
      <c r="F5" t="s">
        <v>15</v>
      </c>
      <c r="I5" t="s">
        <v>414</v>
      </c>
      <c r="J5">
        <v>16</v>
      </c>
      <c r="K5">
        <v>32</v>
      </c>
      <c r="L5">
        <v>40</v>
      </c>
    </row>
    <row r="6" spans="1:12" ht="15.6" x14ac:dyDescent="0.3">
      <c r="A6">
        <v>6</v>
      </c>
      <c r="B6" t="s">
        <v>12</v>
      </c>
      <c r="C6">
        <v>1</v>
      </c>
      <c r="D6" s="1" t="s">
        <v>9</v>
      </c>
      <c r="E6" s="2" t="s">
        <v>20</v>
      </c>
      <c r="F6" t="s">
        <v>82</v>
      </c>
      <c r="I6" t="s">
        <v>415</v>
      </c>
      <c r="J6">
        <v>8</v>
      </c>
      <c r="K6">
        <v>24</v>
      </c>
      <c r="L6">
        <v>32</v>
      </c>
    </row>
    <row r="7" spans="1:12" ht="15.6" x14ac:dyDescent="0.3">
      <c r="A7">
        <v>4</v>
      </c>
      <c r="B7" t="s">
        <v>12</v>
      </c>
      <c r="C7">
        <v>1</v>
      </c>
      <c r="D7" s="1" t="s">
        <v>9</v>
      </c>
      <c r="E7" s="2" t="s">
        <v>20</v>
      </c>
      <c r="F7" t="s">
        <v>21</v>
      </c>
      <c r="I7" t="s">
        <v>416</v>
      </c>
      <c r="L7">
        <v>8</v>
      </c>
    </row>
    <row r="8" spans="1:12" ht="15.6" x14ac:dyDescent="0.3">
      <c r="A8">
        <v>5</v>
      </c>
      <c r="B8" t="s">
        <v>12</v>
      </c>
      <c r="D8" s="1" t="s">
        <v>13</v>
      </c>
      <c r="E8" s="2" t="s">
        <v>30</v>
      </c>
      <c r="F8" t="s">
        <v>31</v>
      </c>
    </row>
    <row r="9" spans="1:12" ht="15.6" x14ac:dyDescent="0.3">
      <c r="A9">
        <v>1</v>
      </c>
      <c r="B9" t="s">
        <v>12</v>
      </c>
      <c r="D9" s="1" t="s">
        <v>13</v>
      </c>
      <c r="E9" s="2" t="s">
        <v>30</v>
      </c>
      <c r="F9" t="s">
        <v>31</v>
      </c>
    </row>
    <row r="10" spans="1:12" ht="15.6" x14ac:dyDescent="0.3">
      <c r="A10">
        <v>3</v>
      </c>
      <c r="B10" t="s">
        <v>12</v>
      </c>
      <c r="C10">
        <v>1</v>
      </c>
      <c r="D10" s="1" t="s">
        <v>13</v>
      </c>
      <c r="E10" s="2" t="s">
        <v>34</v>
      </c>
      <c r="F10" t="s">
        <v>35</v>
      </c>
    </row>
    <row r="11" spans="1:12" ht="15.6" x14ac:dyDescent="0.3">
      <c r="A11">
        <v>6</v>
      </c>
      <c r="B11" t="s">
        <v>12</v>
      </c>
      <c r="C11">
        <v>1</v>
      </c>
      <c r="D11" s="1" t="s">
        <v>13</v>
      </c>
      <c r="E11" s="2" t="s">
        <v>34</v>
      </c>
      <c r="F11" t="s">
        <v>35</v>
      </c>
    </row>
    <row r="12" spans="1:12" ht="15.6" x14ac:dyDescent="0.3">
      <c r="A12">
        <v>5</v>
      </c>
      <c r="B12" t="s">
        <v>12</v>
      </c>
      <c r="D12" s="1" t="s">
        <v>13</v>
      </c>
      <c r="E12" s="2" t="s">
        <v>34</v>
      </c>
      <c r="F12" t="s">
        <v>35</v>
      </c>
    </row>
    <row r="13" spans="1:12" ht="15.6" x14ac:dyDescent="0.3">
      <c r="A13">
        <v>4</v>
      </c>
      <c r="B13" t="s">
        <v>12</v>
      </c>
      <c r="C13">
        <v>1</v>
      </c>
      <c r="D13" s="1" t="s">
        <v>13</v>
      </c>
      <c r="E13" s="2" t="s">
        <v>34</v>
      </c>
      <c r="F13" t="s">
        <v>35</v>
      </c>
    </row>
    <row r="14" spans="1:12" ht="15.6" x14ac:dyDescent="0.3">
      <c r="A14">
        <v>1</v>
      </c>
      <c r="B14" t="s">
        <v>12</v>
      </c>
      <c r="D14" s="1" t="s">
        <v>13</v>
      </c>
      <c r="E14" s="2" t="s">
        <v>34</v>
      </c>
      <c r="F14" t="s">
        <v>35</v>
      </c>
    </row>
    <row r="15" spans="1:12" ht="15.6" x14ac:dyDescent="0.3">
      <c r="A15">
        <v>3</v>
      </c>
      <c r="B15" t="s">
        <v>12</v>
      </c>
      <c r="C15">
        <v>1</v>
      </c>
      <c r="D15" s="1" t="s">
        <v>9</v>
      </c>
      <c r="E15" s="2" t="s">
        <v>36</v>
      </c>
      <c r="F15" t="s">
        <v>37</v>
      </c>
    </row>
    <row r="16" spans="1:12" ht="15.6" x14ac:dyDescent="0.3">
      <c r="A16">
        <v>5</v>
      </c>
      <c r="B16" t="s">
        <v>12</v>
      </c>
      <c r="D16" s="1" t="s">
        <v>9</v>
      </c>
      <c r="E16" s="2" t="s">
        <v>36</v>
      </c>
      <c r="F16" t="s">
        <v>37</v>
      </c>
    </row>
    <row r="17" spans="1:6" ht="15.6" x14ac:dyDescent="0.3">
      <c r="A17">
        <v>1</v>
      </c>
      <c r="B17" t="s">
        <v>12</v>
      </c>
      <c r="D17" s="1" t="s">
        <v>83</v>
      </c>
      <c r="E17" s="2" t="s">
        <v>36</v>
      </c>
      <c r="F17" t="s">
        <v>37</v>
      </c>
    </row>
    <row r="18" spans="1:6" ht="15.6" x14ac:dyDescent="0.3">
      <c r="A18">
        <v>1</v>
      </c>
      <c r="B18" t="s">
        <v>12</v>
      </c>
      <c r="D18" s="1" t="s">
        <v>13</v>
      </c>
      <c r="E18" s="2" t="s">
        <v>56</v>
      </c>
      <c r="F18" t="s">
        <v>57</v>
      </c>
    </row>
    <row r="19" spans="1:6" ht="15.6" x14ac:dyDescent="0.3">
      <c r="A19">
        <v>6</v>
      </c>
      <c r="B19" t="s">
        <v>12</v>
      </c>
      <c r="C19">
        <v>1</v>
      </c>
      <c r="D19" s="1" t="s">
        <v>9</v>
      </c>
      <c r="E19" s="2" t="s">
        <v>60</v>
      </c>
      <c r="F19" t="s">
        <v>61</v>
      </c>
    </row>
    <row r="20" spans="1:6" ht="15.6" x14ac:dyDescent="0.3">
      <c r="A20">
        <v>4</v>
      </c>
      <c r="B20" t="s">
        <v>12</v>
      </c>
      <c r="C20">
        <v>1</v>
      </c>
      <c r="D20" s="1" t="s">
        <v>9</v>
      </c>
      <c r="E20" s="2" t="s">
        <v>60</v>
      </c>
      <c r="F20" t="s">
        <v>61</v>
      </c>
    </row>
    <row r="21" spans="1:6" ht="15.6" x14ac:dyDescent="0.3">
      <c r="A21">
        <v>2</v>
      </c>
      <c r="B21" t="s">
        <v>12</v>
      </c>
      <c r="C21">
        <v>1</v>
      </c>
      <c r="D21" s="1" t="s">
        <v>28</v>
      </c>
      <c r="E21" s="2" t="s">
        <v>62</v>
      </c>
    </row>
    <row r="22" spans="1:6" ht="15.6" x14ac:dyDescent="0.3">
      <c r="A22">
        <v>3</v>
      </c>
      <c r="B22" t="s">
        <v>12</v>
      </c>
      <c r="C22">
        <v>1</v>
      </c>
      <c r="D22" s="1" t="s">
        <v>9</v>
      </c>
      <c r="E22" s="2" t="s">
        <v>63</v>
      </c>
      <c r="F22" t="s">
        <v>64</v>
      </c>
    </row>
    <row r="23" spans="1:6" ht="15.6" x14ac:dyDescent="0.3">
      <c r="A23">
        <v>5</v>
      </c>
      <c r="B23" t="s">
        <v>12</v>
      </c>
      <c r="D23" s="1" t="s">
        <v>9</v>
      </c>
      <c r="E23" s="2" t="s">
        <v>63</v>
      </c>
      <c r="F23" t="s">
        <v>64</v>
      </c>
    </row>
    <row r="24" spans="1:6" ht="15.6" x14ac:dyDescent="0.3">
      <c r="A24">
        <v>4</v>
      </c>
      <c r="B24" t="s">
        <v>12</v>
      </c>
      <c r="C24">
        <v>1</v>
      </c>
      <c r="D24" s="1" t="s">
        <v>9</v>
      </c>
      <c r="E24" s="2" t="s">
        <v>63</v>
      </c>
      <c r="F24" t="s">
        <v>64</v>
      </c>
    </row>
    <row r="25" spans="1:6" ht="15.6" x14ac:dyDescent="0.3">
      <c r="A25">
        <v>1</v>
      </c>
      <c r="B25" t="s">
        <v>12</v>
      </c>
      <c r="D25" s="1" t="s">
        <v>83</v>
      </c>
      <c r="E25" s="2" t="s">
        <v>63</v>
      </c>
      <c r="F25" t="s">
        <v>64</v>
      </c>
    </row>
    <row r="26" spans="1:6" ht="15.6" x14ac:dyDescent="0.3">
      <c r="A26">
        <v>6</v>
      </c>
      <c r="B26" t="s">
        <v>12</v>
      </c>
      <c r="C26">
        <v>1</v>
      </c>
      <c r="D26" s="1" t="s">
        <v>9</v>
      </c>
      <c r="E26" s="2" t="s">
        <v>63</v>
      </c>
      <c r="F26" t="s">
        <v>64</v>
      </c>
    </row>
    <row r="27" spans="1:6" ht="15.6" x14ac:dyDescent="0.3">
      <c r="A27">
        <v>3</v>
      </c>
      <c r="B27" t="s">
        <v>12</v>
      </c>
      <c r="C27">
        <v>1</v>
      </c>
      <c r="D27" s="1" t="s">
        <v>28</v>
      </c>
      <c r="E27" s="2" t="s">
        <v>69</v>
      </c>
    </row>
    <row r="28" spans="1:6" ht="15.6" x14ac:dyDescent="0.3">
      <c r="A28">
        <v>6</v>
      </c>
      <c r="B28" t="s">
        <v>12</v>
      </c>
      <c r="C28">
        <v>1</v>
      </c>
      <c r="D28" s="1" t="s">
        <v>28</v>
      </c>
      <c r="E28" s="2" t="s">
        <v>69</v>
      </c>
    </row>
    <row r="29" spans="1:6" ht="15.6" x14ac:dyDescent="0.3">
      <c r="A29">
        <v>4</v>
      </c>
      <c r="B29" t="s">
        <v>12</v>
      </c>
      <c r="C29">
        <v>1</v>
      </c>
      <c r="D29" s="1" t="s">
        <v>28</v>
      </c>
      <c r="E29" s="2" t="s">
        <v>69</v>
      </c>
    </row>
    <row r="30" spans="1:6" ht="15.6" x14ac:dyDescent="0.3">
      <c r="A30">
        <v>3</v>
      </c>
      <c r="B30" t="s">
        <v>12</v>
      </c>
      <c r="C30">
        <v>1</v>
      </c>
      <c r="D30" s="1" t="s">
        <v>9</v>
      </c>
      <c r="E30" s="2" t="s">
        <v>70</v>
      </c>
      <c r="F30" t="s">
        <v>72</v>
      </c>
    </row>
    <row r="31" spans="1:6" ht="15.6" x14ac:dyDescent="0.3">
      <c r="A31">
        <v>2</v>
      </c>
      <c r="B31" t="s">
        <v>12</v>
      </c>
      <c r="C31">
        <v>1</v>
      </c>
      <c r="D31" s="1" t="s">
        <v>9</v>
      </c>
      <c r="E31" s="2" t="s">
        <v>70</v>
      </c>
      <c r="F31" t="s">
        <v>93</v>
      </c>
    </row>
    <row r="32" spans="1:6" ht="15.6" x14ac:dyDescent="0.3">
      <c r="A32">
        <v>5</v>
      </c>
      <c r="B32" t="s">
        <v>12</v>
      </c>
      <c r="D32" s="1" t="s">
        <v>9</v>
      </c>
      <c r="E32" s="2" t="s">
        <v>70</v>
      </c>
      <c r="F32" t="s">
        <v>72</v>
      </c>
    </row>
    <row r="33" spans="1:6" ht="15.6" x14ac:dyDescent="0.3">
      <c r="A33">
        <v>1</v>
      </c>
      <c r="B33" t="s">
        <v>12</v>
      </c>
      <c r="D33" s="1" t="s">
        <v>83</v>
      </c>
      <c r="E33" s="2" t="s">
        <v>70</v>
      </c>
      <c r="F33" t="s">
        <v>94</v>
      </c>
    </row>
    <row r="34" spans="1:6" ht="15.6" x14ac:dyDescent="0.3">
      <c r="A34">
        <v>3</v>
      </c>
      <c r="B34" t="s">
        <v>12</v>
      </c>
      <c r="C34">
        <v>1</v>
      </c>
      <c r="D34" s="1" t="s">
        <v>9</v>
      </c>
      <c r="E34" s="2" t="s">
        <v>77</v>
      </c>
      <c r="F34" t="s">
        <v>78</v>
      </c>
    </row>
    <row r="35" spans="1:6" ht="15.6" x14ac:dyDescent="0.3">
      <c r="A35">
        <v>5</v>
      </c>
      <c r="B35" t="s">
        <v>12</v>
      </c>
      <c r="D35" s="1" t="s">
        <v>9</v>
      </c>
      <c r="E35" s="2" t="s">
        <v>77</v>
      </c>
      <c r="F35" t="s">
        <v>78</v>
      </c>
    </row>
    <row r="36" spans="1:6" ht="15.6" x14ac:dyDescent="0.3">
      <c r="A36">
        <v>3</v>
      </c>
      <c r="B36" t="s">
        <v>8</v>
      </c>
      <c r="C36">
        <v>1</v>
      </c>
      <c r="D36" s="1" t="s">
        <v>9</v>
      </c>
      <c r="E36" s="2" t="s">
        <v>10</v>
      </c>
      <c r="F36" t="s">
        <v>11</v>
      </c>
    </row>
    <row r="37" spans="1:6" ht="15.6" x14ac:dyDescent="0.3">
      <c r="A37">
        <v>2</v>
      </c>
      <c r="B37" t="s">
        <v>8</v>
      </c>
      <c r="C37">
        <v>2</v>
      </c>
      <c r="D37" s="1" t="s">
        <v>9</v>
      </c>
      <c r="E37" s="2" t="s">
        <v>10</v>
      </c>
      <c r="F37" t="s">
        <v>11</v>
      </c>
    </row>
    <row r="38" spans="1:6" ht="15.6" x14ac:dyDescent="0.3">
      <c r="A38">
        <v>4</v>
      </c>
      <c r="B38" t="s">
        <v>8</v>
      </c>
      <c r="C38">
        <v>1</v>
      </c>
      <c r="D38" s="1" t="s">
        <v>13</v>
      </c>
      <c r="E38" s="2" t="s">
        <v>14</v>
      </c>
      <c r="F38" t="s">
        <v>15</v>
      </c>
    </row>
    <row r="39" spans="1:6" ht="15.6" x14ac:dyDescent="0.3">
      <c r="A39">
        <v>5</v>
      </c>
      <c r="B39" t="s">
        <v>8</v>
      </c>
      <c r="D39" s="1" t="s">
        <v>13</v>
      </c>
      <c r="E39" s="2" t="s">
        <v>18</v>
      </c>
      <c r="F39" t="s">
        <v>19</v>
      </c>
    </row>
    <row r="40" spans="1:6" ht="15.6" x14ac:dyDescent="0.3">
      <c r="A40">
        <v>1</v>
      </c>
      <c r="B40" t="s">
        <v>8</v>
      </c>
      <c r="D40" s="1" t="s">
        <v>13</v>
      </c>
      <c r="E40" s="2" t="s">
        <v>18</v>
      </c>
      <c r="F40" t="s">
        <v>19</v>
      </c>
    </row>
    <row r="41" spans="1:6" ht="15.6" x14ac:dyDescent="0.3">
      <c r="A41">
        <v>1</v>
      </c>
      <c r="B41" t="s">
        <v>8</v>
      </c>
      <c r="D41" s="1" t="s">
        <v>83</v>
      </c>
      <c r="E41" s="2" t="s">
        <v>20</v>
      </c>
      <c r="F41" t="s">
        <v>21</v>
      </c>
    </row>
    <row r="42" spans="1:6" ht="15.6" x14ac:dyDescent="0.3">
      <c r="A42">
        <v>3</v>
      </c>
      <c r="B42" t="s">
        <v>8</v>
      </c>
      <c r="C42">
        <v>1</v>
      </c>
      <c r="D42" s="1" t="s">
        <v>13</v>
      </c>
      <c r="E42" s="2" t="s">
        <v>22</v>
      </c>
      <c r="F42" t="s">
        <v>23</v>
      </c>
    </row>
    <row r="43" spans="1:6" ht="15.6" x14ac:dyDescent="0.3">
      <c r="A43">
        <v>5</v>
      </c>
      <c r="B43" t="s">
        <v>8</v>
      </c>
      <c r="D43" s="1" t="s">
        <v>13</v>
      </c>
      <c r="E43" s="2" t="s">
        <v>22</v>
      </c>
      <c r="F43" t="s">
        <v>23</v>
      </c>
    </row>
    <row r="44" spans="1:6" ht="15.6" x14ac:dyDescent="0.3">
      <c r="A44">
        <v>1</v>
      </c>
      <c r="B44" t="s">
        <v>8</v>
      </c>
      <c r="D44" s="1" t="s">
        <v>13</v>
      </c>
      <c r="E44" s="2" t="s">
        <v>22</v>
      </c>
      <c r="F44" t="s">
        <v>23</v>
      </c>
    </row>
    <row r="45" spans="1:6" ht="15.6" x14ac:dyDescent="0.3">
      <c r="A45">
        <v>3</v>
      </c>
      <c r="B45" t="s">
        <v>8</v>
      </c>
      <c r="C45">
        <v>1</v>
      </c>
      <c r="D45" s="1" t="s">
        <v>13</v>
      </c>
      <c r="E45" s="2" t="s">
        <v>24</v>
      </c>
      <c r="F45" t="s">
        <v>25</v>
      </c>
    </row>
    <row r="46" spans="1:6" ht="15.6" x14ac:dyDescent="0.3">
      <c r="A46">
        <v>2</v>
      </c>
      <c r="B46" t="s">
        <v>8</v>
      </c>
      <c r="C46">
        <v>2</v>
      </c>
      <c r="D46" s="1" t="s">
        <v>13</v>
      </c>
      <c r="E46" s="2" t="s">
        <v>24</v>
      </c>
      <c r="F46" t="s">
        <v>25</v>
      </c>
    </row>
    <row r="47" spans="1:6" ht="15.6" x14ac:dyDescent="0.3">
      <c r="A47">
        <v>5</v>
      </c>
      <c r="B47" t="s">
        <v>8</v>
      </c>
      <c r="D47" s="1" t="s">
        <v>13</v>
      </c>
      <c r="E47" s="2" t="s">
        <v>24</v>
      </c>
      <c r="F47" t="s">
        <v>25</v>
      </c>
    </row>
    <row r="48" spans="1:6" ht="15.6" x14ac:dyDescent="0.3">
      <c r="A48">
        <v>1</v>
      </c>
      <c r="B48" t="s">
        <v>8</v>
      </c>
      <c r="D48" s="1" t="s">
        <v>13</v>
      </c>
      <c r="E48" s="2" t="s">
        <v>24</v>
      </c>
      <c r="F48" t="s">
        <v>25</v>
      </c>
    </row>
    <row r="49" spans="1:6" ht="15.6" x14ac:dyDescent="0.3">
      <c r="A49">
        <v>3</v>
      </c>
      <c r="B49" t="s">
        <v>8</v>
      </c>
      <c r="C49">
        <v>1</v>
      </c>
      <c r="D49" s="1" t="s">
        <v>28</v>
      </c>
      <c r="E49" s="2" t="s">
        <v>32</v>
      </c>
    </row>
    <row r="50" spans="1:6" ht="15.6" x14ac:dyDescent="0.3">
      <c r="A50">
        <v>4</v>
      </c>
      <c r="B50" t="s">
        <v>8</v>
      </c>
      <c r="C50">
        <v>1</v>
      </c>
      <c r="D50" s="1" t="s">
        <v>28</v>
      </c>
      <c r="E50" s="2" t="s">
        <v>32</v>
      </c>
    </row>
    <row r="51" spans="1:6" ht="15.6" x14ac:dyDescent="0.3">
      <c r="A51">
        <v>5</v>
      </c>
      <c r="B51" t="s">
        <v>8</v>
      </c>
      <c r="D51" s="1" t="s">
        <v>9</v>
      </c>
      <c r="E51" s="2" t="s">
        <v>84</v>
      </c>
      <c r="F51" t="s">
        <v>85</v>
      </c>
    </row>
    <row r="52" spans="1:6" ht="15.6" x14ac:dyDescent="0.3">
      <c r="A52">
        <v>3</v>
      </c>
      <c r="B52" t="s">
        <v>8</v>
      </c>
      <c r="C52">
        <v>1</v>
      </c>
      <c r="D52" s="1" t="s">
        <v>13</v>
      </c>
      <c r="E52" s="2" t="s">
        <v>34</v>
      </c>
      <c r="F52" t="s">
        <v>35</v>
      </c>
    </row>
    <row r="53" spans="1:6" ht="15.6" x14ac:dyDescent="0.3">
      <c r="A53">
        <v>6</v>
      </c>
      <c r="B53" t="s">
        <v>8</v>
      </c>
      <c r="C53">
        <v>1</v>
      </c>
      <c r="D53" s="1" t="s">
        <v>13</v>
      </c>
      <c r="E53" s="2" t="s">
        <v>34</v>
      </c>
      <c r="F53" t="s">
        <v>35</v>
      </c>
    </row>
    <row r="54" spans="1:6" ht="15.6" x14ac:dyDescent="0.3">
      <c r="A54">
        <v>2</v>
      </c>
      <c r="B54" t="s">
        <v>8</v>
      </c>
      <c r="C54">
        <v>2</v>
      </c>
      <c r="D54" s="1" t="s">
        <v>13</v>
      </c>
      <c r="E54" s="2" t="s">
        <v>34</v>
      </c>
      <c r="F54" t="s">
        <v>86</v>
      </c>
    </row>
    <row r="55" spans="1:6" ht="15.6" x14ac:dyDescent="0.3">
      <c r="A55">
        <v>5</v>
      </c>
      <c r="B55" t="s">
        <v>8</v>
      </c>
      <c r="D55" s="1" t="s">
        <v>13</v>
      </c>
      <c r="E55" s="2" t="s">
        <v>34</v>
      </c>
      <c r="F55" t="s">
        <v>35</v>
      </c>
    </row>
    <row r="56" spans="1:6" ht="15.6" x14ac:dyDescent="0.3">
      <c r="A56">
        <v>4</v>
      </c>
      <c r="B56" t="s">
        <v>8</v>
      </c>
      <c r="C56">
        <v>1</v>
      </c>
      <c r="D56" s="1" t="s">
        <v>13</v>
      </c>
      <c r="E56" s="2" t="s">
        <v>34</v>
      </c>
      <c r="F56" t="s">
        <v>35</v>
      </c>
    </row>
    <row r="57" spans="1:6" ht="15.6" x14ac:dyDescent="0.3">
      <c r="A57">
        <v>1</v>
      </c>
      <c r="B57" t="s">
        <v>8</v>
      </c>
      <c r="D57" s="1" t="s">
        <v>13</v>
      </c>
      <c r="E57" s="2" t="s">
        <v>34</v>
      </c>
      <c r="F57" t="s">
        <v>35</v>
      </c>
    </row>
    <row r="58" spans="1:6" ht="15.6" x14ac:dyDescent="0.3">
      <c r="A58">
        <v>5</v>
      </c>
      <c r="B58" t="s">
        <v>8</v>
      </c>
      <c r="D58" s="1" t="s">
        <v>9</v>
      </c>
      <c r="E58" s="2" t="s">
        <v>38</v>
      </c>
      <c r="F58" t="s">
        <v>39</v>
      </c>
    </row>
    <row r="59" spans="1:6" ht="15.6" x14ac:dyDescent="0.3">
      <c r="A59">
        <v>1</v>
      </c>
      <c r="B59" t="s">
        <v>8</v>
      </c>
      <c r="D59" s="1" t="s">
        <v>83</v>
      </c>
      <c r="E59" s="2" t="s">
        <v>38</v>
      </c>
      <c r="F59" t="s">
        <v>39</v>
      </c>
    </row>
    <row r="60" spans="1:6" ht="15.6" x14ac:dyDescent="0.3">
      <c r="A60">
        <v>3</v>
      </c>
      <c r="B60" t="s">
        <v>8</v>
      </c>
      <c r="C60">
        <v>1</v>
      </c>
      <c r="D60" s="1" t="s">
        <v>9</v>
      </c>
      <c r="E60" s="2" t="s">
        <v>40</v>
      </c>
      <c r="F60" t="s">
        <v>41</v>
      </c>
    </row>
    <row r="61" spans="1:6" ht="15.6" x14ac:dyDescent="0.3">
      <c r="A61">
        <v>2</v>
      </c>
      <c r="B61" t="s">
        <v>8</v>
      </c>
      <c r="C61">
        <v>2</v>
      </c>
      <c r="D61" s="1" t="s">
        <v>9</v>
      </c>
      <c r="E61" s="2" t="s">
        <v>40</v>
      </c>
      <c r="F61" t="s">
        <v>41</v>
      </c>
    </row>
    <row r="62" spans="1:6" ht="15.6" x14ac:dyDescent="0.3">
      <c r="A62">
        <v>5</v>
      </c>
      <c r="B62" t="s">
        <v>8</v>
      </c>
      <c r="D62" s="1" t="s">
        <v>9</v>
      </c>
      <c r="E62" s="2" t="s">
        <v>40</v>
      </c>
      <c r="F62" t="s">
        <v>41</v>
      </c>
    </row>
    <row r="63" spans="1:6" ht="15.6" x14ac:dyDescent="0.3">
      <c r="A63">
        <v>1</v>
      </c>
      <c r="B63" t="s">
        <v>8</v>
      </c>
      <c r="D63" s="1" t="s">
        <v>83</v>
      </c>
      <c r="E63" s="2" t="s">
        <v>40</v>
      </c>
      <c r="F63" t="s">
        <v>41</v>
      </c>
    </row>
    <row r="64" spans="1:6" ht="15.6" x14ac:dyDescent="0.3">
      <c r="A64">
        <v>3</v>
      </c>
      <c r="B64" t="s">
        <v>8</v>
      </c>
      <c r="C64">
        <v>1</v>
      </c>
      <c r="D64" s="1" t="s">
        <v>9</v>
      </c>
      <c r="E64" s="2" t="s">
        <v>42</v>
      </c>
      <c r="F64" t="s">
        <v>43</v>
      </c>
    </row>
    <row r="65" spans="1:6" ht="15.6" x14ac:dyDescent="0.3">
      <c r="A65">
        <v>2</v>
      </c>
      <c r="B65" t="s">
        <v>8</v>
      </c>
      <c r="C65">
        <v>2</v>
      </c>
      <c r="D65" s="1" t="s">
        <v>9</v>
      </c>
      <c r="E65" s="2" t="s">
        <v>42</v>
      </c>
      <c r="F65" t="s">
        <v>43</v>
      </c>
    </row>
    <row r="66" spans="1:6" ht="15.6" x14ac:dyDescent="0.3">
      <c r="A66">
        <v>5</v>
      </c>
      <c r="B66" t="s">
        <v>8</v>
      </c>
      <c r="D66" s="1" t="s">
        <v>9</v>
      </c>
      <c r="E66" s="2" t="s">
        <v>42</v>
      </c>
      <c r="F66" t="s">
        <v>43</v>
      </c>
    </row>
    <row r="67" spans="1:6" ht="15.6" x14ac:dyDescent="0.3">
      <c r="A67">
        <v>1</v>
      </c>
      <c r="B67" t="s">
        <v>8</v>
      </c>
      <c r="D67" s="1" t="s">
        <v>83</v>
      </c>
      <c r="E67" s="2" t="s">
        <v>42</v>
      </c>
      <c r="F67" t="s">
        <v>43</v>
      </c>
    </row>
    <row r="68" spans="1:6" ht="15.6" x14ac:dyDescent="0.3">
      <c r="A68">
        <v>2</v>
      </c>
      <c r="B68" t="s">
        <v>8</v>
      </c>
      <c r="C68">
        <v>2</v>
      </c>
      <c r="D68" s="1" t="s">
        <v>13</v>
      </c>
      <c r="E68" s="2" t="s">
        <v>44</v>
      </c>
      <c r="F68" t="s">
        <v>45</v>
      </c>
    </row>
    <row r="69" spans="1:6" ht="15.6" x14ac:dyDescent="0.3">
      <c r="A69">
        <v>3</v>
      </c>
      <c r="B69" t="s">
        <v>8</v>
      </c>
      <c r="C69">
        <v>1</v>
      </c>
      <c r="D69" s="1" t="s">
        <v>9</v>
      </c>
      <c r="E69" s="2" t="s">
        <v>87</v>
      </c>
      <c r="F69" t="s">
        <v>88</v>
      </c>
    </row>
    <row r="70" spans="1:6" ht="15.6" x14ac:dyDescent="0.3">
      <c r="A70">
        <v>1</v>
      </c>
      <c r="B70" t="s">
        <v>8</v>
      </c>
      <c r="D70" s="1" t="s">
        <v>83</v>
      </c>
      <c r="E70" s="2" t="s">
        <v>87</v>
      </c>
      <c r="F70" t="s">
        <v>88</v>
      </c>
    </row>
    <row r="71" spans="1:6" ht="15.6" x14ac:dyDescent="0.3">
      <c r="A71">
        <v>3</v>
      </c>
      <c r="B71" t="s">
        <v>8</v>
      </c>
      <c r="C71">
        <v>1</v>
      </c>
      <c r="D71" s="1" t="s">
        <v>9</v>
      </c>
      <c r="E71" s="2" t="s">
        <v>49</v>
      </c>
      <c r="F71" t="s">
        <v>50</v>
      </c>
    </row>
    <row r="72" spans="1:6" ht="15.6" x14ac:dyDescent="0.3">
      <c r="A72">
        <v>5</v>
      </c>
      <c r="B72" t="s">
        <v>8</v>
      </c>
      <c r="D72" s="1" t="s">
        <v>9</v>
      </c>
      <c r="E72" s="2" t="s">
        <v>49</v>
      </c>
      <c r="F72" t="s">
        <v>50</v>
      </c>
    </row>
    <row r="73" spans="1:6" ht="15.6" x14ac:dyDescent="0.3">
      <c r="A73">
        <v>2</v>
      </c>
      <c r="B73" t="s">
        <v>8</v>
      </c>
      <c r="C73">
        <v>2</v>
      </c>
      <c r="D73" s="1" t="s">
        <v>9</v>
      </c>
      <c r="E73" s="2" t="s">
        <v>51</v>
      </c>
      <c r="F73" t="s">
        <v>53</v>
      </c>
    </row>
    <row r="74" spans="1:6" ht="15.6" x14ac:dyDescent="0.3">
      <c r="A74">
        <v>5</v>
      </c>
      <c r="B74" t="s">
        <v>8</v>
      </c>
      <c r="D74" s="1" t="s">
        <v>9</v>
      </c>
      <c r="E74" s="2" t="s">
        <v>51</v>
      </c>
      <c r="F74" t="s">
        <v>53</v>
      </c>
    </row>
    <row r="75" spans="1:6" ht="15.6" x14ac:dyDescent="0.3">
      <c r="A75">
        <v>1</v>
      </c>
      <c r="B75" t="s">
        <v>8</v>
      </c>
      <c r="D75" s="1" t="s">
        <v>83</v>
      </c>
      <c r="E75" s="2" t="s">
        <v>51</v>
      </c>
      <c r="F75" t="s">
        <v>53</v>
      </c>
    </row>
    <row r="76" spans="1:6" ht="15.6" x14ac:dyDescent="0.3">
      <c r="A76">
        <v>3</v>
      </c>
      <c r="B76" t="s">
        <v>8</v>
      </c>
      <c r="C76">
        <v>1</v>
      </c>
      <c r="D76" s="1" t="s">
        <v>9</v>
      </c>
      <c r="E76" s="2" t="s">
        <v>58</v>
      </c>
      <c r="F76" t="s">
        <v>59</v>
      </c>
    </row>
    <row r="77" spans="1:6" ht="15.6" x14ac:dyDescent="0.3">
      <c r="A77">
        <v>2</v>
      </c>
      <c r="B77" t="s">
        <v>8</v>
      </c>
      <c r="C77">
        <v>2</v>
      </c>
      <c r="D77" s="1" t="s">
        <v>9</v>
      </c>
      <c r="E77" s="2" t="s">
        <v>58</v>
      </c>
      <c r="F77" t="s">
        <v>59</v>
      </c>
    </row>
    <row r="78" spans="1:6" ht="15.6" x14ac:dyDescent="0.3">
      <c r="A78">
        <v>5</v>
      </c>
      <c r="B78" t="s">
        <v>8</v>
      </c>
      <c r="D78" s="1" t="s">
        <v>9</v>
      </c>
      <c r="E78" s="2" t="s">
        <v>58</v>
      </c>
      <c r="F78" t="s">
        <v>59</v>
      </c>
    </row>
    <row r="79" spans="1:6" ht="15.6" x14ac:dyDescent="0.3">
      <c r="A79">
        <v>1</v>
      </c>
      <c r="B79" t="s">
        <v>8</v>
      </c>
      <c r="D79" s="1" t="s">
        <v>83</v>
      </c>
      <c r="E79" s="2" t="s">
        <v>58</v>
      </c>
      <c r="F79" t="s">
        <v>59</v>
      </c>
    </row>
    <row r="80" spans="1:6" ht="15.6" x14ac:dyDescent="0.3">
      <c r="A80">
        <v>3</v>
      </c>
      <c r="B80" t="s">
        <v>8</v>
      </c>
      <c r="C80">
        <v>1</v>
      </c>
      <c r="D80" s="1" t="s">
        <v>9</v>
      </c>
      <c r="E80" s="2" t="s">
        <v>60</v>
      </c>
      <c r="F80" t="s">
        <v>61</v>
      </c>
    </row>
    <row r="81" spans="1:6" ht="15.6" x14ac:dyDescent="0.3">
      <c r="A81">
        <v>2</v>
      </c>
      <c r="B81" t="s">
        <v>8</v>
      </c>
      <c r="C81">
        <v>2</v>
      </c>
      <c r="D81" s="1" t="s">
        <v>9</v>
      </c>
      <c r="E81" s="2" t="s">
        <v>60</v>
      </c>
      <c r="F81" t="s">
        <v>61</v>
      </c>
    </row>
    <row r="82" spans="1:6" ht="15.6" x14ac:dyDescent="0.3">
      <c r="A82">
        <v>1</v>
      </c>
      <c r="B82" t="s">
        <v>8</v>
      </c>
      <c r="D82" s="1" t="s">
        <v>83</v>
      </c>
      <c r="E82" s="2" t="s">
        <v>60</v>
      </c>
      <c r="F82" t="s">
        <v>61</v>
      </c>
    </row>
    <row r="83" spans="1:6" ht="15.6" x14ac:dyDescent="0.3">
      <c r="A83">
        <v>1</v>
      </c>
      <c r="B83" t="s">
        <v>8</v>
      </c>
      <c r="D83" s="1" t="s">
        <v>83</v>
      </c>
      <c r="E83" s="2" t="s">
        <v>89</v>
      </c>
      <c r="F83" t="s">
        <v>90</v>
      </c>
    </row>
    <row r="84" spans="1:6" ht="15.6" x14ac:dyDescent="0.3">
      <c r="A84">
        <v>3</v>
      </c>
      <c r="B84" t="s">
        <v>8</v>
      </c>
      <c r="C84">
        <v>1</v>
      </c>
      <c r="D84" s="1" t="s">
        <v>9</v>
      </c>
      <c r="E84" s="2" t="s">
        <v>66</v>
      </c>
      <c r="F84" t="s">
        <v>67</v>
      </c>
    </row>
    <row r="85" spans="1:6" ht="15.6" x14ac:dyDescent="0.3">
      <c r="A85">
        <v>3</v>
      </c>
      <c r="B85" t="s">
        <v>8</v>
      </c>
      <c r="C85">
        <v>1</v>
      </c>
      <c r="D85" s="1" t="s">
        <v>28</v>
      </c>
      <c r="E85" s="2" t="s">
        <v>68</v>
      </c>
    </row>
    <row r="86" spans="1:6" ht="15.6" x14ac:dyDescent="0.3">
      <c r="A86">
        <v>5</v>
      </c>
      <c r="B86" t="s">
        <v>8</v>
      </c>
      <c r="D86" s="1" t="s">
        <v>28</v>
      </c>
      <c r="E86" s="2" t="s">
        <v>68</v>
      </c>
    </row>
    <row r="87" spans="1:6" ht="15.6" x14ac:dyDescent="0.3">
      <c r="A87">
        <v>2</v>
      </c>
      <c r="B87" t="s">
        <v>8</v>
      </c>
      <c r="C87">
        <v>2</v>
      </c>
      <c r="D87" s="1" t="s">
        <v>9</v>
      </c>
      <c r="E87" s="2" t="s">
        <v>91</v>
      </c>
      <c r="F87" t="s">
        <v>92</v>
      </c>
    </row>
    <row r="88" spans="1:6" ht="15.6" x14ac:dyDescent="0.3">
      <c r="A88">
        <v>1</v>
      </c>
      <c r="B88" t="s">
        <v>8</v>
      </c>
      <c r="D88" s="1" t="s">
        <v>83</v>
      </c>
      <c r="E88" s="2" t="s">
        <v>91</v>
      </c>
      <c r="F88" t="s">
        <v>92</v>
      </c>
    </row>
    <row r="89" spans="1:6" ht="15.6" x14ac:dyDescent="0.3">
      <c r="A89">
        <v>3</v>
      </c>
      <c r="B89" t="s">
        <v>8</v>
      </c>
      <c r="C89">
        <v>1</v>
      </c>
      <c r="D89" s="1" t="s">
        <v>28</v>
      </c>
      <c r="E89" s="2" t="s">
        <v>69</v>
      </c>
    </row>
    <row r="90" spans="1:6" ht="15.6" x14ac:dyDescent="0.3">
      <c r="A90">
        <v>5</v>
      </c>
      <c r="B90" t="s">
        <v>8</v>
      </c>
      <c r="D90" s="1" t="s">
        <v>28</v>
      </c>
      <c r="E90" s="2" t="s">
        <v>69</v>
      </c>
    </row>
    <row r="91" spans="1:6" ht="15.6" x14ac:dyDescent="0.3">
      <c r="A91">
        <v>3</v>
      </c>
      <c r="B91" t="s">
        <v>8</v>
      </c>
      <c r="C91">
        <v>1</v>
      </c>
      <c r="D91" s="1" t="s">
        <v>13</v>
      </c>
      <c r="E91" s="2" t="s">
        <v>73</v>
      </c>
      <c r="F91" t="s">
        <v>74</v>
      </c>
    </row>
    <row r="92" spans="1:6" ht="15.6" x14ac:dyDescent="0.3">
      <c r="A92">
        <v>2</v>
      </c>
      <c r="B92" t="s">
        <v>8</v>
      </c>
      <c r="C92">
        <v>2</v>
      </c>
      <c r="D92" s="1" t="s">
        <v>13</v>
      </c>
      <c r="E92" s="2" t="s">
        <v>73</v>
      </c>
      <c r="F92" t="s">
        <v>74</v>
      </c>
    </row>
    <row r="93" spans="1:6" ht="15.6" x14ac:dyDescent="0.3">
      <c r="A93">
        <v>5</v>
      </c>
      <c r="B93" t="s">
        <v>8</v>
      </c>
      <c r="D93" s="1" t="s">
        <v>13</v>
      </c>
      <c r="E93" s="2" t="s">
        <v>73</v>
      </c>
      <c r="F93" t="s">
        <v>74</v>
      </c>
    </row>
    <row r="94" spans="1:6" ht="15.6" x14ac:dyDescent="0.3">
      <c r="A94">
        <v>1</v>
      </c>
      <c r="B94" t="s">
        <v>8</v>
      </c>
      <c r="D94" s="1" t="s">
        <v>13</v>
      </c>
      <c r="E94" s="2" t="s">
        <v>73</v>
      </c>
      <c r="F94" t="s">
        <v>74</v>
      </c>
    </row>
    <row r="95" spans="1:6" ht="15.6" x14ac:dyDescent="0.3">
      <c r="A95">
        <v>3</v>
      </c>
      <c r="B95" t="s">
        <v>8</v>
      </c>
      <c r="C95">
        <v>1</v>
      </c>
      <c r="D95" s="1" t="s">
        <v>9</v>
      </c>
      <c r="E95" s="2" t="s">
        <v>75</v>
      </c>
      <c r="F95" t="s">
        <v>76</v>
      </c>
    </row>
    <row r="96" spans="1:6" ht="15.6" x14ac:dyDescent="0.3">
      <c r="A96">
        <v>2</v>
      </c>
      <c r="B96" t="s">
        <v>8</v>
      </c>
      <c r="C96">
        <v>2</v>
      </c>
      <c r="D96" s="1" t="s">
        <v>9</v>
      </c>
      <c r="E96" s="2" t="s">
        <v>75</v>
      </c>
      <c r="F96" t="s">
        <v>76</v>
      </c>
    </row>
    <row r="97" spans="1:6" ht="15.6" x14ac:dyDescent="0.3">
      <c r="A97">
        <v>5</v>
      </c>
      <c r="B97" t="s">
        <v>8</v>
      </c>
      <c r="D97" s="1" t="s">
        <v>9</v>
      </c>
      <c r="E97" s="2" t="s">
        <v>75</v>
      </c>
      <c r="F97" t="s">
        <v>76</v>
      </c>
    </row>
    <row r="98" spans="1:6" ht="15.6" x14ac:dyDescent="0.3">
      <c r="A98">
        <v>1</v>
      </c>
      <c r="B98" t="s">
        <v>8</v>
      </c>
      <c r="D98" s="1" t="s">
        <v>83</v>
      </c>
      <c r="E98" s="2" t="s">
        <v>75</v>
      </c>
      <c r="F98" t="s">
        <v>76</v>
      </c>
    </row>
    <row r="99" spans="1:6" ht="15.6" x14ac:dyDescent="0.3">
      <c r="A99">
        <v>3</v>
      </c>
      <c r="B99" t="s">
        <v>8</v>
      </c>
      <c r="C99">
        <v>1</v>
      </c>
      <c r="D99" s="1" t="s">
        <v>9</v>
      </c>
      <c r="E99" s="2" t="s">
        <v>95</v>
      </c>
      <c r="F99" t="s">
        <v>96</v>
      </c>
    </row>
    <row r="100" spans="1:6" ht="15.6" x14ac:dyDescent="0.3">
      <c r="A100">
        <v>1</v>
      </c>
      <c r="B100" t="s">
        <v>8</v>
      </c>
      <c r="D100" s="1" t="s">
        <v>83</v>
      </c>
      <c r="E100" s="2" t="s">
        <v>79</v>
      </c>
      <c r="F100" t="s">
        <v>80</v>
      </c>
    </row>
    <row r="101" spans="1:6" ht="15.6" x14ac:dyDescent="0.3">
      <c r="A101">
        <v>5</v>
      </c>
      <c r="B101" t="s">
        <v>8</v>
      </c>
      <c r="D101" s="1" t="s">
        <v>9</v>
      </c>
      <c r="E101" s="2" t="s">
        <v>79</v>
      </c>
    </row>
  </sheetData>
  <sortState xmlns:xlrd2="http://schemas.microsoft.com/office/spreadsheetml/2017/richdata2" ref="A2:F101">
    <sortCondition ref="B1:B101"/>
  </sortState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8C92-10CB-4DD6-9DE2-4B4905516248}">
  <dimension ref="A1:G229"/>
  <sheetViews>
    <sheetView tabSelected="1" zoomScale="70" zoomScaleNormal="70" workbookViewId="0">
      <selection activeCell="D15" sqref="D15"/>
    </sheetView>
  </sheetViews>
  <sheetFormatPr defaultRowHeight="14.4" x14ac:dyDescent="0.3"/>
  <cols>
    <col min="1" max="1" width="39.88671875" customWidth="1"/>
    <col min="2" max="2" width="30.88671875" customWidth="1"/>
    <col min="4" max="4" width="22.109375" customWidth="1"/>
    <col min="5" max="5" width="18.6640625" bestFit="1" customWidth="1"/>
  </cols>
  <sheetData>
    <row r="1" spans="1:7" x14ac:dyDescent="0.3">
      <c r="A1" t="s">
        <v>1</v>
      </c>
      <c r="B1" t="s">
        <v>6</v>
      </c>
    </row>
    <row r="2" spans="1:7" ht="15.6" x14ac:dyDescent="0.3">
      <c r="A2" t="s">
        <v>12</v>
      </c>
      <c r="B2" s="2" t="s">
        <v>10</v>
      </c>
      <c r="E2" s="2"/>
    </row>
    <row r="3" spans="1:7" ht="15.6" x14ac:dyDescent="0.3">
      <c r="A3" t="s">
        <v>12</v>
      </c>
      <c r="B3" s="2" t="s">
        <v>14</v>
      </c>
      <c r="E3" s="2"/>
    </row>
    <row r="4" spans="1:7" ht="15.6" x14ac:dyDescent="0.3">
      <c r="A4" t="s">
        <v>12</v>
      </c>
      <c r="B4" s="2" t="s">
        <v>20</v>
      </c>
      <c r="E4" s="2"/>
    </row>
    <row r="5" spans="1:7" ht="15.6" x14ac:dyDescent="0.3">
      <c r="A5" t="s">
        <v>12</v>
      </c>
      <c r="B5" s="2" t="s">
        <v>30</v>
      </c>
      <c r="E5" s="2"/>
    </row>
    <row r="6" spans="1:7" ht="15.6" x14ac:dyDescent="0.3">
      <c r="A6" t="s">
        <v>12</v>
      </c>
      <c r="B6" s="2" t="s">
        <v>34</v>
      </c>
      <c r="E6" s="2"/>
    </row>
    <row r="7" spans="1:7" ht="15.6" x14ac:dyDescent="0.3">
      <c r="A7" t="s">
        <v>12</v>
      </c>
      <c r="B7" s="2" t="s">
        <v>36</v>
      </c>
      <c r="E7" s="2"/>
    </row>
    <row r="8" spans="1:7" ht="15.6" x14ac:dyDescent="0.3">
      <c r="A8" t="s">
        <v>12</v>
      </c>
      <c r="B8" s="2" t="s">
        <v>56</v>
      </c>
      <c r="E8" s="2"/>
    </row>
    <row r="9" spans="1:7" ht="15.6" x14ac:dyDescent="0.3">
      <c r="A9" t="s">
        <v>12</v>
      </c>
      <c r="B9" s="2" t="s">
        <v>60</v>
      </c>
      <c r="E9" s="2"/>
    </row>
    <row r="10" spans="1:7" ht="15.6" x14ac:dyDescent="0.3">
      <c r="A10" t="s">
        <v>12</v>
      </c>
      <c r="B10" s="2" t="s">
        <v>62</v>
      </c>
      <c r="E10" s="2"/>
    </row>
    <row r="11" spans="1:7" ht="15.6" x14ac:dyDescent="0.3">
      <c r="A11" t="s">
        <v>12</v>
      </c>
      <c r="B11" s="2" t="s">
        <v>63</v>
      </c>
      <c r="E11" s="2"/>
    </row>
    <row r="12" spans="1:7" ht="15.6" x14ac:dyDescent="0.3">
      <c r="A12" t="s">
        <v>12</v>
      </c>
      <c r="B12" s="2" t="s">
        <v>69</v>
      </c>
      <c r="E12" s="2"/>
    </row>
    <row r="13" spans="1:7" ht="15.6" x14ac:dyDescent="0.3">
      <c r="A13" t="s">
        <v>12</v>
      </c>
      <c r="B13" s="2" t="s">
        <v>70</v>
      </c>
      <c r="E13" s="66"/>
      <c r="F13" s="67"/>
      <c r="G13" s="68"/>
    </row>
    <row r="14" spans="1:7" ht="15.6" x14ac:dyDescent="0.3">
      <c r="A14" t="s">
        <v>12</v>
      </c>
      <c r="B14" s="2" t="s">
        <v>77</v>
      </c>
      <c r="E14" s="69"/>
      <c r="F14" s="70"/>
      <c r="G14" s="71"/>
    </row>
    <row r="15" spans="1:7" ht="15.6" x14ac:dyDescent="0.3">
      <c r="B15" s="2"/>
      <c r="E15" s="69"/>
      <c r="F15" s="70"/>
      <c r="G15" s="71"/>
    </row>
    <row r="16" spans="1:7" ht="15.6" x14ac:dyDescent="0.3">
      <c r="A16" t="s">
        <v>12</v>
      </c>
      <c r="B16" s="2" t="s">
        <v>32</v>
      </c>
      <c r="E16" s="69"/>
      <c r="F16" s="70"/>
      <c r="G16" s="71"/>
    </row>
    <row r="17" spans="1:7" ht="15.6" x14ac:dyDescent="0.3">
      <c r="A17" t="s">
        <v>12</v>
      </c>
      <c r="B17" s="2" t="s">
        <v>46</v>
      </c>
      <c r="E17" s="69"/>
      <c r="F17" s="70"/>
      <c r="G17" s="71"/>
    </row>
    <row r="18" spans="1:7" ht="15.6" x14ac:dyDescent="0.3">
      <c r="A18" t="s">
        <v>12</v>
      </c>
      <c r="B18" s="2" t="s">
        <v>54</v>
      </c>
      <c r="E18" s="69"/>
      <c r="F18" s="70"/>
      <c r="G18" s="71"/>
    </row>
    <row r="19" spans="1:7" ht="15.6" x14ac:dyDescent="0.3">
      <c r="A19" t="s">
        <v>8</v>
      </c>
      <c r="B19" s="2" t="s">
        <v>10</v>
      </c>
      <c r="E19" s="69"/>
      <c r="F19" s="70"/>
      <c r="G19" s="71"/>
    </row>
    <row r="20" spans="1:7" ht="15.6" x14ac:dyDescent="0.3">
      <c r="A20" t="s">
        <v>8</v>
      </c>
      <c r="B20" s="2" t="s">
        <v>14</v>
      </c>
      <c r="E20" s="69"/>
      <c r="F20" s="70"/>
      <c r="G20" s="71"/>
    </row>
    <row r="21" spans="1:7" ht="15.6" x14ac:dyDescent="0.3">
      <c r="A21" t="s">
        <v>8</v>
      </c>
      <c r="B21" s="2" t="s">
        <v>18</v>
      </c>
      <c r="E21" s="69"/>
      <c r="F21" s="70"/>
      <c r="G21" s="71"/>
    </row>
    <row r="22" spans="1:7" ht="15.6" x14ac:dyDescent="0.3">
      <c r="A22" t="s">
        <v>8</v>
      </c>
      <c r="B22" s="2" t="s">
        <v>20</v>
      </c>
      <c r="E22" s="69"/>
      <c r="F22" s="70"/>
      <c r="G22" s="71"/>
    </row>
    <row r="23" spans="1:7" ht="15.6" x14ac:dyDescent="0.3">
      <c r="A23" t="s">
        <v>8</v>
      </c>
      <c r="B23" s="2" t="s">
        <v>22</v>
      </c>
      <c r="E23" s="69"/>
      <c r="F23" s="70"/>
      <c r="G23" s="71"/>
    </row>
    <row r="24" spans="1:7" ht="15.6" x14ac:dyDescent="0.3">
      <c r="A24" t="s">
        <v>8</v>
      </c>
      <c r="B24" s="2" t="s">
        <v>24</v>
      </c>
      <c r="E24" s="69"/>
      <c r="F24" s="70"/>
      <c r="G24" s="71"/>
    </row>
    <row r="25" spans="1:7" ht="15.6" x14ac:dyDescent="0.3">
      <c r="A25" t="s">
        <v>8</v>
      </c>
      <c r="B25" s="2" t="s">
        <v>32</v>
      </c>
      <c r="E25" s="69"/>
      <c r="F25" s="70"/>
      <c r="G25" s="71"/>
    </row>
    <row r="26" spans="1:7" ht="15.6" x14ac:dyDescent="0.3">
      <c r="A26" t="s">
        <v>8</v>
      </c>
      <c r="B26" s="2" t="s">
        <v>84</v>
      </c>
      <c r="E26" s="69"/>
      <c r="F26" s="70"/>
      <c r="G26" s="71"/>
    </row>
    <row r="27" spans="1:7" ht="15.6" x14ac:dyDescent="0.3">
      <c r="A27" t="s">
        <v>8</v>
      </c>
      <c r="B27" s="2" t="s">
        <v>34</v>
      </c>
      <c r="E27" s="69"/>
      <c r="F27" s="70"/>
      <c r="G27" s="71"/>
    </row>
    <row r="28" spans="1:7" ht="15.6" x14ac:dyDescent="0.3">
      <c r="A28" t="s">
        <v>8</v>
      </c>
      <c r="B28" s="2" t="s">
        <v>38</v>
      </c>
      <c r="E28" s="69"/>
      <c r="F28" s="70"/>
      <c r="G28" s="71"/>
    </row>
    <row r="29" spans="1:7" ht="15.6" x14ac:dyDescent="0.3">
      <c r="A29" t="s">
        <v>8</v>
      </c>
      <c r="B29" s="2" t="s">
        <v>40</v>
      </c>
      <c r="E29" s="69"/>
      <c r="F29" s="70"/>
      <c r="G29" s="71"/>
    </row>
    <row r="30" spans="1:7" ht="15.6" x14ac:dyDescent="0.3">
      <c r="A30" t="s">
        <v>8</v>
      </c>
      <c r="B30" s="2" t="s">
        <v>42</v>
      </c>
      <c r="E30" s="72"/>
      <c r="F30" s="73"/>
      <c r="G30" s="74"/>
    </row>
    <row r="31" spans="1:7" ht="15.6" x14ac:dyDescent="0.3">
      <c r="A31" t="s">
        <v>8</v>
      </c>
      <c r="B31" s="2" t="s">
        <v>44</v>
      </c>
    </row>
    <row r="32" spans="1:7" ht="15.6" x14ac:dyDescent="0.3">
      <c r="A32" t="s">
        <v>8</v>
      </c>
      <c r="B32" s="2" t="s">
        <v>87</v>
      </c>
    </row>
    <row r="33" spans="1:2" ht="15.6" x14ac:dyDescent="0.3">
      <c r="A33" t="s">
        <v>8</v>
      </c>
      <c r="B33" s="2" t="s">
        <v>49</v>
      </c>
    </row>
    <row r="34" spans="1:2" ht="15.6" x14ac:dyDescent="0.3">
      <c r="A34" t="s">
        <v>8</v>
      </c>
      <c r="B34" s="2" t="s">
        <v>51</v>
      </c>
    </row>
    <row r="35" spans="1:2" ht="15.6" x14ac:dyDescent="0.3">
      <c r="A35" t="s">
        <v>8</v>
      </c>
      <c r="B35" s="2" t="s">
        <v>58</v>
      </c>
    </row>
    <row r="36" spans="1:2" ht="15.6" x14ac:dyDescent="0.3">
      <c r="A36" t="s">
        <v>8</v>
      </c>
      <c r="B36" s="2" t="s">
        <v>60</v>
      </c>
    </row>
    <row r="37" spans="1:2" ht="15.6" x14ac:dyDescent="0.3">
      <c r="A37" t="s">
        <v>8</v>
      </c>
      <c r="B37" s="2" t="s">
        <v>89</v>
      </c>
    </row>
    <row r="38" spans="1:2" ht="15.6" x14ac:dyDescent="0.3">
      <c r="A38" t="s">
        <v>8</v>
      </c>
      <c r="B38" s="2" t="s">
        <v>66</v>
      </c>
    </row>
    <row r="39" spans="1:2" ht="15.6" x14ac:dyDescent="0.3">
      <c r="A39" t="s">
        <v>8</v>
      </c>
      <c r="B39" s="2" t="s">
        <v>68</v>
      </c>
    </row>
    <row r="40" spans="1:2" ht="15.6" x14ac:dyDescent="0.3">
      <c r="A40" t="s">
        <v>8</v>
      </c>
      <c r="B40" s="2" t="s">
        <v>91</v>
      </c>
    </row>
    <row r="41" spans="1:2" ht="15.6" x14ac:dyDescent="0.3">
      <c r="A41" t="s">
        <v>8</v>
      </c>
      <c r="B41" s="2" t="s">
        <v>69</v>
      </c>
    </row>
    <row r="42" spans="1:2" ht="15.6" x14ac:dyDescent="0.3">
      <c r="A42" t="s">
        <v>8</v>
      </c>
      <c r="B42" s="2" t="s">
        <v>73</v>
      </c>
    </row>
    <row r="43" spans="1:2" ht="15.6" x14ac:dyDescent="0.3">
      <c r="A43" t="s">
        <v>8</v>
      </c>
      <c r="B43" s="2" t="s">
        <v>75</v>
      </c>
    </row>
    <row r="44" spans="1:2" ht="15.6" x14ac:dyDescent="0.3">
      <c r="A44" t="s">
        <v>8</v>
      </c>
      <c r="B44" s="2" t="s">
        <v>95</v>
      </c>
    </row>
    <row r="45" spans="1:2" ht="15.6" x14ac:dyDescent="0.3">
      <c r="A45" t="s">
        <v>8</v>
      </c>
      <c r="B45" s="2" t="s">
        <v>79</v>
      </c>
    </row>
    <row r="46" spans="1:2" ht="15.6" x14ac:dyDescent="0.3">
      <c r="B46" s="2"/>
    </row>
    <row r="47" spans="1:2" ht="15.6" x14ac:dyDescent="0.3">
      <c r="A47" t="s">
        <v>8</v>
      </c>
      <c r="B47" s="2" t="s">
        <v>26</v>
      </c>
    </row>
    <row r="48" spans="1:2" ht="15.6" x14ac:dyDescent="0.3">
      <c r="A48" t="s">
        <v>8</v>
      </c>
      <c r="B48" s="2" t="s">
        <v>29</v>
      </c>
    </row>
    <row r="49" spans="1:2" ht="15.6" x14ac:dyDescent="0.3">
      <c r="A49" t="s">
        <v>8</v>
      </c>
      <c r="B49" s="2" t="s">
        <v>33</v>
      </c>
    </row>
    <row r="50" spans="1:2" ht="15.6" x14ac:dyDescent="0.3">
      <c r="A50" t="s">
        <v>8</v>
      </c>
      <c r="B50" s="2" t="s">
        <v>47</v>
      </c>
    </row>
    <row r="51" spans="1:2" ht="15.6" x14ac:dyDescent="0.3">
      <c r="A51" t="s">
        <v>8</v>
      </c>
      <c r="B51" s="2" t="s">
        <v>63</v>
      </c>
    </row>
    <row r="106" spans="5:5" ht="15.6" x14ac:dyDescent="0.3">
      <c r="E106" s="2"/>
    </row>
    <row r="107" spans="5:5" ht="15.6" x14ac:dyDescent="0.3">
      <c r="E107" s="2"/>
    </row>
    <row r="108" spans="5:5" ht="15.6" x14ac:dyDescent="0.3">
      <c r="E108" s="2"/>
    </row>
    <row r="109" spans="5:5" ht="15.6" x14ac:dyDescent="0.3">
      <c r="E109" s="2"/>
    </row>
    <row r="110" spans="5:5" ht="15.6" x14ac:dyDescent="0.3">
      <c r="E110" s="2"/>
    </row>
    <row r="111" spans="5:5" ht="15.6" x14ac:dyDescent="0.3">
      <c r="E111" s="2"/>
    </row>
    <row r="112" spans="5:5" ht="15.6" x14ac:dyDescent="0.3">
      <c r="E112" s="2"/>
    </row>
    <row r="113" spans="5:5" ht="15.6" x14ac:dyDescent="0.3">
      <c r="E113" s="2"/>
    </row>
    <row r="114" spans="5:5" ht="15.6" x14ac:dyDescent="0.3">
      <c r="E114" s="2"/>
    </row>
    <row r="115" spans="5:5" ht="15.6" x14ac:dyDescent="0.3">
      <c r="E115" s="2"/>
    </row>
    <row r="116" spans="5:5" ht="15.6" x14ac:dyDescent="0.3">
      <c r="E116" s="2"/>
    </row>
    <row r="117" spans="5:5" ht="15.6" x14ac:dyDescent="0.3">
      <c r="E117" s="2"/>
    </row>
    <row r="118" spans="5:5" ht="15.6" x14ac:dyDescent="0.3">
      <c r="E118" s="2"/>
    </row>
    <row r="119" spans="5:5" ht="15.6" x14ac:dyDescent="0.3">
      <c r="E119" s="2"/>
    </row>
    <row r="120" spans="5:5" ht="15.6" x14ac:dyDescent="0.3">
      <c r="E120" s="2"/>
    </row>
    <row r="121" spans="5:5" ht="15.6" x14ac:dyDescent="0.3">
      <c r="E121" s="2"/>
    </row>
    <row r="122" spans="5:5" ht="15.6" x14ac:dyDescent="0.3">
      <c r="E122" s="2"/>
    </row>
    <row r="123" spans="5:5" ht="15.6" x14ac:dyDescent="0.3">
      <c r="E123" s="2"/>
    </row>
    <row r="124" spans="5:5" ht="15.6" x14ac:dyDescent="0.3">
      <c r="E124" s="2"/>
    </row>
    <row r="125" spans="5:5" ht="15.6" x14ac:dyDescent="0.3">
      <c r="E125" s="2"/>
    </row>
    <row r="126" spans="5:5" ht="15.6" x14ac:dyDescent="0.3">
      <c r="E126" s="2"/>
    </row>
    <row r="127" spans="5:5" ht="15.6" x14ac:dyDescent="0.3">
      <c r="E127" s="2"/>
    </row>
    <row r="128" spans="5:5" ht="15.6" x14ac:dyDescent="0.3">
      <c r="E128" s="2"/>
    </row>
    <row r="129" spans="5:5" ht="15.6" x14ac:dyDescent="0.3">
      <c r="E129" s="2"/>
    </row>
    <row r="130" spans="5:5" ht="15.6" x14ac:dyDescent="0.3">
      <c r="E130" s="2"/>
    </row>
    <row r="131" spans="5:5" ht="15.6" x14ac:dyDescent="0.3">
      <c r="E131" s="2"/>
    </row>
    <row r="132" spans="5:5" ht="15.6" x14ac:dyDescent="0.3">
      <c r="E132" s="2"/>
    </row>
    <row r="133" spans="5:5" ht="15.6" x14ac:dyDescent="0.3">
      <c r="E133" s="2"/>
    </row>
    <row r="134" spans="5:5" ht="15.6" x14ac:dyDescent="0.3">
      <c r="E134" s="2"/>
    </row>
    <row r="135" spans="5:5" ht="15.6" x14ac:dyDescent="0.3">
      <c r="E135" s="2"/>
    </row>
    <row r="136" spans="5:5" ht="15.6" x14ac:dyDescent="0.3">
      <c r="E136" s="2"/>
    </row>
    <row r="137" spans="5:5" ht="15.6" x14ac:dyDescent="0.3">
      <c r="E137" s="2"/>
    </row>
    <row r="138" spans="5:5" ht="15.6" x14ac:dyDescent="0.3">
      <c r="E138" s="2"/>
    </row>
    <row r="139" spans="5:5" ht="15.6" x14ac:dyDescent="0.3">
      <c r="E139" s="2"/>
    </row>
    <row r="140" spans="5:5" ht="15.6" x14ac:dyDescent="0.3">
      <c r="E140" s="2"/>
    </row>
    <row r="141" spans="5:5" ht="15.6" x14ac:dyDescent="0.3">
      <c r="E141" s="2"/>
    </row>
    <row r="142" spans="5:5" ht="15.6" x14ac:dyDescent="0.3">
      <c r="E142" s="2"/>
    </row>
    <row r="143" spans="5:5" ht="15.6" x14ac:dyDescent="0.3">
      <c r="E143" s="2"/>
    </row>
    <row r="144" spans="5:5" ht="15.6" x14ac:dyDescent="0.3">
      <c r="E144" s="2"/>
    </row>
    <row r="145" spans="5:5" ht="15.6" x14ac:dyDescent="0.3">
      <c r="E145" s="2"/>
    </row>
    <row r="146" spans="5:5" ht="15.6" x14ac:dyDescent="0.3">
      <c r="E146" s="2"/>
    </row>
    <row r="147" spans="5:5" ht="15.6" x14ac:dyDescent="0.3">
      <c r="E147" s="2"/>
    </row>
    <row r="148" spans="5:5" ht="15.6" x14ac:dyDescent="0.3">
      <c r="E148" s="2"/>
    </row>
    <row r="149" spans="5:5" ht="15.6" x14ac:dyDescent="0.3">
      <c r="E149" s="2"/>
    </row>
    <row r="150" spans="5:5" ht="15.6" x14ac:dyDescent="0.3">
      <c r="E150" s="2"/>
    </row>
    <row r="151" spans="5:5" ht="15.6" x14ac:dyDescent="0.3">
      <c r="E151" s="2"/>
    </row>
    <row r="152" spans="5:5" ht="15.6" x14ac:dyDescent="0.3">
      <c r="E152" s="2"/>
    </row>
    <row r="153" spans="5:5" ht="15.6" x14ac:dyDescent="0.3">
      <c r="E153" s="2"/>
    </row>
    <row r="154" spans="5:5" ht="15.6" x14ac:dyDescent="0.3">
      <c r="E154" s="2"/>
    </row>
    <row r="155" spans="5:5" ht="15.6" x14ac:dyDescent="0.3">
      <c r="E155" s="2"/>
    </row>
    <row r="156" spans="5:5" ht="15.6" x14ac:dyDescent="0.3">
      <c r="E156" s="2"/>
    </row>
    <row r="157" spans="5:5" ht="15.6" x14ac:dyDescent="0.3">
      <c r="E157" s="2"/>
    </row>
    <row r="158" spans="5:5" ht="15.6" x14ac:dyDescent="0.3">
      <c r="E158" s="2"/>
    </row>
    <row r="159" spans="5:5" ht="15.6" x14ac:dyDescent="0.3">
      <c r="E159" s="2"/>
    </row>
    <row r="160" spans="5:5" ht="15.6" x14ac:dyDescent="0.3">
      <c r="E160" s="2"/>
    </row>
    <row r="161" spans="5:5" ht="15.6" x14ac:dyDescent="0.3">
      <c r="E161" s="2"/>
    </row>
    <row r="162" spans="5:5" ht="15.6" x14ac:dyDescent="0.3">
      <c r="E162" s="2"/>
    </row>
    <row r="163" spans="5:5" ht="15.6" x14ac:dyDescent="0.3">
      <c r="E163" s="2"/>
    </row>
    <row r="164" spans="5:5" ht="15.6" x14ac:dyDescent="0.3">
      <c r="E164" s="2"/>
    </row>
    <row r="165" spans="5:5" ht="15.6" x14ac:dyDescent="0.3">
      <c r="E165" s="2"/>
    </row>
    <row r="166" spans="5:5" ht="15.6" x14ac:dyDescent="0.3">
      <c r="E166" s="2"/>
    </row>
    <row r="167" spans="5:5" ht="15.6" x14ac:dyDescent="0.3">
      <c r="E167" s="2"/>
    </row>
    <row r="168" spans="5:5" ht="15.6" x14ac:dyDescent="0.3">
      <c r="E168" s="2"/>
    </row>
    <row r="169" spans="5:5" ht="15.6" x14ac:dyDescent="0.3">
      <c r="E169" s="2"/>
    </row>
    <row r="170" spans="5:5" ht="15.6" x14ac:dyDescent="0.3">
      <c r="E170" s="2"/>
    </row>
    <row r="171" spans="5:5" ht="15.6" x14ac:dyDescent="0.3">
      <c r="E171" s="2"/>
    </row>
    <row r="172" spans="5:5" ht="15.6" x14ac:dyDescent="0.3">
      <c r="E172" s="2"/>
    </row>
    <row r="173" spans="5:5" ht="15.6" x14ac:dyDescent="0.3">
      <c r="E173" s="2"/>
    </row>
    <row r="174" spans="5:5" ht="15.6" x14ac:dyDescent="0.3">
      <c r="E174" s="2"/>
    </row>
    <row r="175" spans="5:5" ht="15.6" x14ac:dyDescent="0.3">
      <c r="E175" s="2"/>
    </row>
    <row r="176" spans="5:5" ht="15.6" x14ac:dyDescent="0.3">
      <c r="E176" s="2"/>
    </row>
    <row r="177" spans="5:5" ht="15.6" x14ac:dyDescent="0.3">
      <c r="E177" s="2"/>
    </row>
    <row r="178" spans="5:5" ht="15.6" x14ac:dyDescent="0.3">
      <c r="E178" s="2"/>
    </row>
    <row r="179" spans="5:5" ht="15.6" x14ac:dyDescent="0.3">
      <c r="E179" s="2"/>
    </row>
    <row r="180" spans="5:5" ht="15.6" x14ac:dyDescent="0.3">
      <c r="E180" s="2"/>
    </row>
    <row r="181" spans="5:5" ht="15.6" x14ac:dyDescent="0.3">
      <c r="E181" s="2"/>
    </row>
    <row r="182" spans="5:5" ht="15.6" x14ac:dyDescent="0.3">
      <c r="E182" s="2"/>
    </row>
    <row r="183" spans="5:5" ht="15.6" x14ac:dyDescent="0.3">
      <c r="E183" s="2"/>
    </row>
    <row r="184" spans="5:5" ht="15.6" x14ac:dyDescent="0.3">
      <c r="E184" s="2"/>
    </row>
    <row r="185" spans="5:5" ht="15.6" x14ac:dyDescent="0.3">
      <c r="E185" s="2"/>
    </row>
    <row r="186" spans="5:5" ht="15.6" x14ac:dyDescent="0.3">
      <c r="E186" s="2"/>
    </row>
    <row r="187" spans="5:5" ht="15.6" x14ac:dyDescent="0.3">
      <c r="E187" s="2"/>
    </row>
    <row r="188" spans="5:5" ht="15.6" x14ac:dyDescent="0.3">
      <c r="E188" s="2"/>
    </row>
    <row r="189" spans="5:5" ht="15.6" x14ac:dyDescent="0.3">
      <c r="E189" s="2"/>
    </row>
    <row r="190" spans="5:5" ht="15.6" x14ac:dyDescent="0.3">
      <c r="E190" s="2"/>
    </row>
    <row r="191" spans="5:5" ht="15.6" x14ac:dyDescent="0.3">
      <c r="E191" s="2"/>
    </row>
    <row r="192" spans="5:5" ht="15.6" x14ac:dyDescent="0.3">
      <c r="E192" s="2"/>
    </row>
    <row r="193" spans="5:5" ht="15.6" x14ac:dyDescent="0.3">
      <c r="E193" s="2"/>
    </row>
    <row r="194" spans="5:5" ht="15.6" x14ac:dyDescent="0.3">
      <c r="E194" s="2"/>
    </row>
    <row r="195" spans="5:5" ht="15.6" x14ac:dyDescent="0.3">
      <c r="E195" s="2"/>
    </row>
    <row r="196" spans="5:5" ht="15.6" x14ac:dyDescent="0.3">
      <c r="E196" s="2"/>
    </row>
    <row r="197" spans="5:5" ht="15.6" x14ac:dyDescent="0.3">
      <c r="E197" s="2"/>
    </row>
    <row r="198" spans="5:5" ht="15.6" x14ac:dyDescent="0.3">
      <c r="E198" s="2"/>
    </row>
    <row r="199" spans="5:5" ht="15.6" x14ac:dyDescent="0.3">
      <c r="E199" s="2"/>
    </row>
    <row r="200" spans="5:5" ht="15.6" x14ac:dyDescent="0.3">
      <c r="E200" s="2"/>
    </row>
    <row r="201" spans="5:5" ht="15.6" x14ac:dyDescent="0.3">
      <c r="E201" s="2"/>
    </row>
    <row r="202" spans="5:5" ht="15.6" x14ac:dyDescent="0.3">
      <c r="E202" s="2"/>
    </row>
    <row r="203" spans="5:5" ht="15.6" x14ac:dyDescent="0.3">
      <c r="E203" s="2"/>
    </row>
    <row r="204" spans="5:5" ht="15.6" x14ac:dyDescent="0.3">
      <c r="E204" s="2"/>
    </row>
    <row r="205" spans="5:5" ht="15.6" x14ac:dyDescent="0.3">
      <c r="E205" s="2"/>
    </row>
    <row r="206" spans="5:5" ht="15.6" x14ac:dyDescent="0.3">
      <c r="E206" s="2"/>
    </row>
    <row r="207" spans="5:5" ht="15.6" x14ac:dyDescent="0.3">
      <c r="E207" s="2"/>
    </row>
    <row r="208" spans="5:5" ht="15.6" x14ac:dyDescent="0.3">
      <c r="E208" s="2"/>
    </row>
    <row r="209" spans="5:5" ht="15.6" x14ac:dyDescent="0.3">
      <c r="E209" s="2"/>
    </row>
    <row r="210" spans="5:5" ht="15.6" x14ac:dyDescent="0.3">
      <c r="E210" s="2"/>
    </row>
    <row r="211" spans="5:5" ht="15.6" x14ac:dyDescent="0.3">
      <c r="E211" s="2"/>
    </row>
    <row r="212" spans="5:5" ht="15.6" x14ac:dyDescent="0.3">
      <c r="E212" s="2"/>
    </row>
    <row r="213" spans="5:5" ht="15.6" x14ac:dyDescent="0.3">
      <c r="E213" s="2"/>
    </row>
    <row r="214" spans="5:5" ht="15.6" x14ac:dyDescent="0.3">
      <c r="E214" s="2"/>
    </row>
    <row r="215" spans="5:5" ht="15.6" x14ac:dyDescent="0.3">
      <c r="E215" s="2"/>
    </row>
    <row r="216" spans="5:5" ht="15.6" x14ac:dyDescent="0.3">
      <c r="E216" s="2"/>
    </row>
    <row r="217" spans="5:5" ht="15.6" x14ac:dyDescent="0.3">
      <c r="E217" s="2"/>
    </row>
    <row r="218" spans="5:5" ht="15.6" x14ac:dyDescent="0.3">
      <c r="E218" s="2"/>
    </row>
    <row r="219" spans="5:5" ht="15.6" x14ac:dyDescent="0.3">
      <c r="E219" s="2"/>
    </row>
    <row r="220" spans="5:5" ht="15.6" x14ac:dyDescent="0.3">
      <c r="E220" s="2"/>
    </row>
    <row r="221" spans="5:5" ht="15.6" x14ac:dyDescent="0.3">
      <c r="E221" s="2"/>
    </row>
    <row r="222" spans="5:5" ht="15.6" x14ac:dyDescent="0.3">
      <c r="E222" s="2"/>
    </row>
    <row r="223" spans="5:5" ht="15.6" x14ac:dyDescent="0.3">
      <c r="E223" s="2"/>
    </row>
    <row r="224" spans="5:5" ht="15.6" x14ac:dyDescent="0.3">
      <c r="E224" s="2"/>
    </row>
    <row r="225" spans="5:5" ht="15.6" x14ac:dyDescent="0.3">
      <c r="E225" s="2"/>
    </row>
    <row r="226" spans="5:5" ht="15.6" x14ac:dyDescent="0.3">
      <c r="E226" s="2"/>
    </row>
    <row r="227" spans="5:5" ht="15.6" x14ac:dyDescent="0.3">
      <c r="E227" s="2"/>
    </row>
    <row r="228" spans="5:5" ht="15.6" x14ac:dyDescent="0.3">
      <c r="E228" s="2"/>
    </row>
    <row r="229" spans="5:5" ht="15.6" x14ac:dyDescent="0.3">
      <c r="E229" s="2"/>
    </row>
  </sheetData>
  <sortState xmlns:xlrd2="http://schemas.microsoft.com/office/spreadsheetml/2017/richdata2" ref="A2:B52">
    <sortCondition ref="A2:A5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16B2-6922-4403-A17C-C04A6DFEF6D6}">
  <sheetPr>
    <tabColor theme="5" tint="-0.249977111117893"/>
  </sheetPr>
  <dimension ref="A1:I380"/>
  <sheetViews>
    <sheetView topLeftCell="G94" workbookViewId="0">
      <selection activeCell="I103" sqref="I103"/>
    </sheetView>
  </sheetViews>
  <sheetFormatPr defaultColWidth="29.44140625" defaultRowHeight="14.4" x14ac:dyDescent="0.3"/>
  <cols>
    <col min="1" max="1" width="6.109375" bestFit="1" customWidth="1"/>
    <col min="2" max="2" width="4.33203125" bestFit="1" customWidth="1"/>
    <col min="3" max="3" width="15.6640625" bestFit="1" customWidth="1"/>
    <col min="4" max="4" width="15.6640625" customWidth="1"/>
    <col min="5" max="5" width="25.5546875" style="1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97</v>
      </c>
      <c r="D1" t="s">
        <v>98</v>
      </c>
      <c r="E1" s="1" t="s">
        <v>5</v>
      </c>
      <c r="F1" t="s">
        <v>6</v>
      </c>
      <c r="G1" t="s">
        <v>7</v>
      </c>
      <c r="H1" t="s">
        <v>99</v>
      </c>
    </row>
    <row r="2" spans="1:8" x14ac:dyDescent="0.3">
      <c r="A2">
        <v>6</v>
      </c>
      <c r="B2">
        <v>4</v>
      </c>
      <c r="C2" t="s">
        <v>118</v>
      </c>
      <c r="D2" t="s">
        <v>101</v>
      </c>
      <c r="E2" s="1" t="s">
        <v>9</v>
      </c>
      <c r="F2" s="63" t="s">
        <v>119</v>
      </c>
      <c r="G2" t="s">
        <v>120</v>
      </c>
      <c r="H2">
        <v>4</v>
      </c>
    </row>
    <row r="3" spans="1:8" x14ac:dyDescent="0.3">
      <c r="A3">
        <v>6</v>
      </c>
      <c r="B3">
        <v>2</v>
      </c>
      <c r="C3" t="s">
        <v>131</v>
      </c>
      <c r="D3" t="s">
        <v>128</v>
      </c>
      <c r="E3" s="1" t="s">
        <v>9</v>
      </c>
      <c r="F3" s="63" t="s">
        <v>119</v>
      </c>
      <c r="G3" t="s">
        <v>120</v>
      </c>
      <c r="H3">
        <v>2</v>
      </c>
    </row>
    <row r="4" spans="1:8" x14ac:dyDescent="0.3">
      <c r="A4">
        <v>6</v>
      </c>
      <c r="B4">
        <v>4</v>
      </c>
      <c r="C4" t="s">
        <v>134</v>
      </c>
      <c r="D4" t="s">
        <v>128</v>
      </c>
      <c r="E4" s="1" t="s">
        <v>9</v>
      </c>
      <c r="F4" s="63" t="s">
        <v>119</v>
      </c>
      <c r="G4" t="s">
        <v>120</v>
      </c>
      <c r="H4">
        <v>1</v>
      </c>
    </row>
    <row r="5" spans="1:8" x14ac:dyDescent="0.3">
      <c r="A5">
        <v>6</v>
      </c>
      <c r="B5">
        <v>5</v>
      </c>
      <c r="C5" t="s">
        <v>135</v>
      </c>
      <c r="D5" t="s">
        <v>128</v>
      </c>
      <c r="E5" s="1" t="s">
        <v>9</v>
      </c>
      <c r="F5" s="63" t="s">
        <v>119</v>
      </c>
      <c r="G5" t="s">
        <v>120</v>
      </c>
      <c r="H5">
        <v>1</v>
      </c>
    </row>
    <row r="6" spans="1:8" x14ac:dyDescent="0.3">
      <c r="A6">
        <v>3</v>
      </c>
      <c r="C6" t="s">
        <v>127</v>
      </c>
      <c r="D6" t="s">
        <v>128</v>
      </c>
      <c r="E6"/>
      <c r="F6" s="63" t="s">
        <v>119</v>
      </c>
      <c r="G6" t="s">
        <v>142</v>
      </c>
      <c r="H6">
        <v>2</v>
      </c>
    </row>
    <row r="7" spans="1:8" x14ac:dyDescent="0.3">
      <c r="A7">
        <v>2</v>
      </c>
      <c r="B7">
        <v>2</v>
      </c>
      <c r="C7" t="s">
        <v>106</v>
      </c>
      <c r="D7" t="s">
        <v>101</v>
      </c>
      <c r="E7" s="1" t="s">
        <v>9</v>
      </c>
      <c r="F7" s="63" t="s">
        <v>119</v>
      </c>
      <c r="G7" t="s">
        <v>145</v>
      </c>
      <c r="H7">
        <v>2</v>
      </c>
    </row>
    <row r="8" spans="1:8" x14ac:dyDescent="0.3">
      <c r="A8">
        <v>2</v>
      </c>
      <c r="B8">
        <v>4</v>
      </c>
      <c r="C8" t="s">
        <v>118</v>
      </c>
      <c r="D8" t="s">
        <v>101</v>
      </c>
      <c r="E8" s="1" t="s">
        <v>9</v>
      </c>
      <c r="F8" s="63" t="s">
        <v>119</v>
      </c>
      <c r="G8" t="s">
        <v>145</v>
      </c>
      <c r="H8">
        <v>3</v>
      </c>
    </row>
    <row r="9" spans="1:8" x14ac:dyDescent="0.3">
      <c r="A9">
        <v>2</v>
      </c>
      <c r="B9">
        <v>5</v>
      </c>
      <c r="C9" t="s">
        <v>141</v>
      </c>
      <c r="D9" t="s">
        <v>101</v>
      </c>
      <c r="E9" s="1" t="s">
        <v>9</v>
      </c>
      <c r="F9" s="63" t="s">
        <v>119</v>
      </c>
      <c r="G9" t="s">
        <v>145</v>
      </c>
      <c r="H9">
        <v>1</v>
      </c>
    </row>
    <row r="10" spans="1:8" x14ac:dyDescent="0.3">
      <c r="A10">
        <v>2</v>
      </c>
      <c r="B10">
        <v>6</v>
      </c>
      <c r="C10" t="s">
        <v>127</v>
      </c>
      <c r="D10" t="s">
        <v>128</v>
      </c>
      <c r="E10" s="1" t="s">
        <v>9</v>
      </c>
      <c r="F10" s="63" t="s">
        <v>119</v>
      </c>
      <c r="G10" t="s">
        <v>145</v>
      </c>
      <c r="H10">
        <v>1</v>
      </c>
    </row>
    <row r="11" spans="1:8" x14ac:dyDescent="0.3">
      <c r="A11">
        <v>2</v>
      </c>
      <c r="B11">
        <v>7</v>
      </c>
      <c r="C11" t="s">
        <v>131</v>
      </c>
      <c r="D11" t="s">
        <v>128</v>
      </c>
      <c r="E11" s="1" t="s">
        <v>9</v>
      </c>
      <c r="F11" s="63" t="s">
        <v>119</v>
      </c>
      <c r="G11" t="s">
        <v>145</v>
      </c>
      <c r="H11">
        <v>2</v>
      </c>
    </row>
    <row r="12" spans="1:8" x14ac:dyDescent="0.3">
      <c r="A12">
        <v>4</v>
      </c>
      <c r="B12">
        <v>1</v>
      </c>
      <c r="C12" t="s">
        <v>100</v>
      </c>
      <c r="D12" t="s">
        <v>101</v>
      </c>
      <c r="E12" s="1" t="s">
        <v>149</v>
      </c>
      <c r="F12" s="63" t="s">
        <v>119</v>
      </c>
      <c r="G12" t="s">
        <v>150</v>
      </c>
      <c r="H12">
        <v>1</v>
      </c>
    </row>
    <row r="13" spans="1:8" x14ac:dyDescent="0.3">
      <c r="A13">
        <v>4</v>
      </c>
      <c r="B13">
        <v>3</v>
      </c>
      <c r="C13" t="s">
        <v>113</v>
      </c>
      <c r="D13" t="s">
        <v>101</v>
      </c>
      <c r="E13" s="1" t="s">
        <v>149</v>
      </c>
      <c r="F13" s="63" t="s">
        <v>119</v>
      </c>
      <c r="G13" t="s">
        <v>150</v>
      </c>
      <c r="H13">
        <v>2</v>
      </c>
    </row>
    <row r="14" spans="1:8" x14ac:dyDescent="0.3">
      <c r="A14">
        <v>4</v>
      </c>
      <c r="B14">
        <v>5</v>
      </c>
      <c r="C14" t="s">
        <v>141</v>
      </c>
      <c r="D14" t="s">
        <v>101</v>
      </c>
      <c r="E14" s="1" t="s">
        <v>149</v>
      </c>
      <c r="F14" s="63" t="s">
        <v>119</v>
      </c>
      <c r="G14" t="s">
        <v>150</v>
      </c>
      <c r="H14">
        <v>2</v>
      </c>
    </row>
    <row r="15" spans="1:8" x14ac:dyDescent="0.3">
      <c r="A15">
        <v>4</v>
      </c>
      <c r="B15">
        <v>3</v>
      </c>
      <c r="C15" t="s">
        <v>132</v>
      </c>
      <c r="D15" t="s">
        <v>128</v>
      </c>
      <c r="E15" s="1" t="s">
        <v>149</v>
      </c>
      <c r="F15" s="63" t="s">
        <v>119</v>
      </c>
      <c r="G15" t="s">
        <v>150</v>
      </c>
      <c r="H15">
        <v>1</v>
      </c>
    </row>
    <row r="16" spans="1:8" x14ac:dyDescent="0.3">
      <c r="A16">
        <v>1</v>
      </c>
      <c r="B16">
        <v>1</v>
      </c>
      <c r="C16" t="s">
        <v>100</v>
      </c>
      <c r="D16" t="s">
        <v>101</v>
      </c>
      <c r="E16" s="1" t="s">
        <v>9</v>
      </c>
      <c r="F16" s="63" t="s">
        <v>119</v>
      </c>
      <c r="G16" t="s">
        <v>145</v>
      </c>
      <c r="H16">
        <v>1</v>
      </c>
    </row>
    <row r="17" spans="1:8" x14ac:dyDescent="0.3">
      <c r="A17">
        <v>1</v>
      </c>
      <c r="C17" t="s">
        <v>106</v>
      </c>
      <c r="D17" t="s">
        <v>101</v>
      </c>
      <c r="E17" s="1" t="s">
        <v>9</v>
      </c>
      <c r="F17" s="63" t="s">
        <v>119</v>
      </c>
      <c r="G17" t="s">
        <v>145</v>
      </c>
      <c r="H17">
        <v>1</v>
      </c>
    </row>
    <row r="18" spans="1:8" x14ac:dyDescent="0.3">
      <c r="A18">
        <v>1</v>
      </c>
      <c r="C18" t="s">
        <v>113</v>
      </c>
      <c r="D18" t="s">
        <v>101</v>
      </c>
      <c r="E18" s="1" t="s">
        <v>9</v>
      </c>
      <c r="F18" s="63" t="s">
        <v>119</v>
      </c>
      <c r="G18" t="s">
        <v>145</v>
      </c>
      <c r="H18">
        <v>1</v>
      </c>
    </row>
    <row r="19" spans="1:8" x14ac:dyDescent="0.3">
      <c r="A19">
        <v>1</v>
      </c>
      <c r="C19" t="s">
        <v>118</v>
      </c>
      <c r="D19" t="s">
        <v>101</v>
      </c>
      <c r="E19" s="1" t="s">
        <v>9</v>
      </c>
      <c r="F19" s="63" t="s">
        <v>119</v>
      </c>
      <c r="G19" t="s">
        <v>145</v>
      </c>
      <c r="H19">
        <v>2</v>
      </c>
    </row>
    <row r="20" spans="1:8" x14ac:dyDescent="0.3">
      <c r="A20">
        <v>1</v>
      </c>
      <c r="C20" t="s">
        <v>141</v>
      </c>
      <c r="D20" t="s">
        <v>101</v>
      </c>
      <c r="E20" s="1" t="s">
        <v>9</v>
      </c>
      <c r="F20" s="63" t="s">
        <v>119</v>
      </c>
      <c r="G20" t="s">
        <v>145</v>
      </c>
      <c r="H20">
        <v>3</v>
      </c>
    </row>
    <row r="21" spans="1:8" x14ac:dyDescent="0.3">
      <c r="A21">
        <v>1</v>
      </c>
      <c r="C21" t="s">
        <v>131</v>
      </c>
      <c r="D21" t="s">
        <v>128</v>
      </c>
      <c r="E21" s="1" t="s">
        <v>9</v>
      </c>
      <c r="F21" s="63" t="s">
        <v>119</v>
      </c>
      <c r="G21" t="s">
        <v>145</v>
      </c>
      <c r="H21">
        <v>2</v>
      </c>
    </row>
    <row r="22" spans="1:8" x14ac:dyDescent="0.3">
      <c r="A22">
        <v>1</v>
      </c>
      <c r="C22" t="s">
        <v>132</v>
      </c>
      <c r="D22" t="s">
        <v>128</v>
      </c>
      <c r="E22" s="1" t="s">
        <v>9</v>
      </c>
      <c r="F22" s="63" t="s">
        <v>119</v>
      </c>
      <c r="G22" t="s">
        <v>145</v>
      </c>
      <c r="H22">
        <v>1</v>
      </c>
    </row>
    <row r="23" spans="1:8" x14ac:dyDescent="0.3">
      <c r="A23">
        <v>1</v>
      </c>
      <c r="C23" t="s">
        <v>135</v>
      </c>
      <c r="D23" t="s">
        <v>128</v>
      </c>
      <c r="E23" s="1" t="s">
        <v>9</v>
      </c>
      <c r="F23" s="63" t="s">
        <v>119</v>
      </c>
      <c r="G23" t="s">
        <v>145</v>
      </c>
      <c r="H23">
        <v>2</v>
      </c>
    </row>
    <row r="24" spans="1:8" x14ac:dyDescent="0.3">
      <c r="A24">
        <v>5</v>
      </c>
      <c r="C24" t="s">
        <v>131</v>
      </c>
      <c r="D24" t="s">
        <v>128</v>
      </c>
      <c r="E24" s="1" t="s">
        <v>9</v>
      </c>
      <c r="F24" s="63" t="s">
        <v>119</v>
      </c>
      <c r="G24" t="s">
        <v>145</v>
      </c>
      <c r="H24">
        <v>1</v>
      </c>
    </row>
    <row r="25" spans="1:8" x14ac:dyDescent="0.3">
      <c r="A25">
        <v>5</v>
      </c>
      <c r="C25" t="s">
        <v>132</v>
      </c>
      <c r="D25" t="s">
        <v>128</v>
      </c>
      <c r="E25" s="1" t="s">
        <v>9</v>
      </c>
      <c r="F25" s="63" t="s">
        <v>119</v>
      </c>
      <c r="G25" t="s">
        <v>145</v>
      </c>
      <c r="H25">
        <v>1</v>
      </c>
    </row>
    <row r="26" spans="1:8" x14ac:dyDescent="0.3">
      <c r="A26">
        <v>5</v>
      </c>
      <c r="C26" t="s">
        <v>134</v>
      </c>
      <c r="D26" t="s">
        <v>128</v>
      </c>
      <c r="E26" s="1" t="s">
        <v>9</v>
      </c>
      <c r="F26" s="63" t="s">
        <v>119</v>
      </c>
      <c r="G26" t="s">
        <v>145</v>
      </c>
      <c r="H26">
        <v>2</v>
      </c>
    </row>
    <row r="27" spans="1:8" x14ac:dyDescent="0.3">
      <c r="A27">
        <v>5</v>
      </c>
      <c r="C27" t="s">
        <v>106</v>
      </c>
      <c r="D27" t="s">
        <v>101</v>
      </c>
      <c r="E27" s="1" t="s">
        <v>9</v>
      </c>
      <c r="F27" s="63" t="s">
        <v>119</v>
      </c>
      <c r="G27" t="s">
        <v>145</v>
      </c>
      <c r="H27">
        <v>1</v>
      </c>
    </row>
    <row r="28" spans="1:8" x14ac:dyDescent="0.3">
      <c r="A28">
        <v>5</v>
      </c>
      <c r="C28" t="s">
        <v>118</v>
      </c>
      <c r="D28" t="s">
        <v>101</v>
      </c>
      <c r="E28" s="1" t="s">
        <v>9</v>
      </c>
      <c r="F28" s="63" t="s">
        <v>119</v>
      </c>
      <c r="G28" t="s">
        <v>145</v>
      </c>
      <c r="H28">
        <v>7</v>
      </c>
    </row>
    <row r="29" spans="1:8" x14ac:dyDescent="0.3">
      <c r="A29">
        <v>5</v>
      </c>
      <c r="C29" t="s">
        <v>141</v>
      </c>
      <c r="D29" t="s">
        <v>101</v>
      </c>
      <c r="E29" s="1" t="s">
        <v>9</v>
      </c>
      <c r="F29" s="63" t="s">
        <v>119</v>
      </c>
      <c r="G29" t="s">
        <v>145</v>
      </c>
      <c r="H29">
        <v>1</v>
      </c>
    </row>
    <row r="30" spans="1:8" x14ac:dyDescent="0.3">
      <c r="A30">
        <v>1</v>
      </c>
      <c r="C30" t="s">
        <v>141</v>
      </c>
      <c r="D30" t="s">
        <v>101</v>
      </c>
      <c r="E30" s="1" t="s">
        <v>110</v>
      </c>
      <c r="F30" s="3" t="s">
        <v>158</v>
      </c>
      <c r="G30" t="s">
        <v>159</v>
      </c>
      <c r="H30">
        <v>1</v>
      </c>
    </row>
    <row r="31" spans="1:8" x14ac:dyDescent="0.3">
      <c r="A31">
        <v>6</v>
      </c>
      <c r="B31">
        <v>2</v>
      </c>
      <c r="C31" t="s">
        <v>106</v>
      </c>
      <c r="D31" t="s">
        <v>101</v>
      </c>
      <c r="E31" s="1" t="s">
        <v>110</v>
      </c>
      <c r="F31" s="63" t="s">
        <v>111</v>
      </c>
      <c r="G31" t="s">
        <v>112</v>
      </c>
      <c r="H31">
        <v>1</v>
      </c>
    </row>
    <row r="32" spans="1:8" x14ac:dyDescent="0.3">
      <c r="A32">
        <v>6</v>
      </c>
      <c r="B32">
        <v>5</v>
      </c>
      <c r="C32" t="s">
        <v>124</v>
      </c>
      <c r="D32" t="s">
        <v>101</v>
      </c>
      <c r="E32" s="1" t="s">
        <v>110</v>
      </c>
      <c r="F32" s="63" t="s">
        <v>111</v>
      </c>
      <c r="G32" t="s">
        <v>112</v>
      </c>
      <c r="H32">
        <v>1</v>
      </c>
    </row>
    <row r="33" spans="1:8" x14ac:dyDescent="0.3">
      <c r="A33">
        <v>4</v>
      </c>
      <c r="B33">
        <v>2</v>
      </c>
      <c r="C33" t="s">
        <v>106</v>
      </c>
      <c r="D33" t="s">
        <v>101</v>
      </c>
      <c r="E33" s="1" t="s">
        <v>155</v>
      </c>
      <c r="F33" s="3" t="s">
        <v>111</v>
      </c>
      <c r="G33" t="s">
        <v>112</v>
      </c>
      <c r="H33">
        <v>2</v>
      </c>
    </row>
    <row r="34" spans="1:8" x14ac:dyDescent="0.3">
      <c r="A34">
        <v>1</v>
      </c>
      <c r="B34">
        <v>1</v>
      </c>
      <c r="C34" t="s">
        <v>100</v>
      </c>
      <c r="D34" t="s">
        <v>101</v>
      </c>
      <c r="E34" s="1" t="s">
        <v>110</v>
      </c>
      <c r="F34" s="3" t="s">
        <v>111</v>
      </c>
      <c r="G34" t="s">
        <v>112</v>
      </c>
      <c r="H34">
        <v>1</v>
      </c>
    </row>
    <row r="35" spans="1:8" x14ac:dyDescent="0.3">
      <c r="A35">
        <v>1</v>
      </c>
      <c r="C35" t="s">
        <v>106</v>
      </c>
      <c r="D35" t="s">
        <v>101</v>
      </c>
      <c r="E35" s="1" t="s">
        <v>110</v>
      </c>
      <c r="F35" s="3" t="s">
        <v>111</v>
      </c>
      <c r="G35" t="s">
        <v>112</v>
      </c>
      <c r="H35">
        <v>1</v>
      </c>
    </row>
    <row r="36" spans="1:8" x14ac:dyDescent="0.3">
      <c r="A36">
        <v>1</v>
      </c>
      <c r="C36" t="s">
        <v>141</v>
      </c>
      <c r="D36" t="s">
        <v>101</v>
      </c>
      <c r="E36" s="1" t="s">
        <v>110</v>
      </c>
      <c r="F36" s="3" t="s">
        <v>111</v>
      </c>
      <c r="G36" t="s">
        <v>112</v>
      </c>
      <c r="H36">
        <v>1</v>
      </c>
    </row>
    <row r="37" spans="1:8" x14ac:dyDescent="0.3">
      <c r="A37">
        <v>6</v>
      </c>
      <c r="B37">
        <v>2</v>
      </c>
      <c r="C37" t="s">
        <v>106</v>
      </c>
      <c r="D37" t="s">
        <v>101</v>
      </c>
      <c r="E37" s="1" t="s">
        <v>9</v>
      </c>
      <c r="F37" s="63" t="s">
        <v>20</v>
      </c>
      <c r="G37" t="s">
        <v>107</v>
      </c>
      <c r="H37">
        <v>9</v>
      </c>
    </row>
    <row r="38" spans="1:8" x14ac:dyDescent="0.3">
      <c r="A38">
        <v>6</v>
      </c>
      <c r="B38">
        <v>3</v>
      </c>
      <c r="C38" t="s">
        <v>113</v>
      </c>
      <c r="D38" t="s">
        <v>101</v>
      </c>
      <c r="E38" s="1" t="s">
        <v>9</v>
      </c>
      <c r="F38" s="63" t="s">
        <v>20</v>
      </c>
      <c r="G38" t="s">
        <v>107</v>
      </c>
      <c r="H38">
        <v>5</v>
      </c>
    </row>
    <row r="39" spans="1:8" x14ac:dyDescent="0.3">
      <c r="A39">
        <v>6</v>
      </c>
      <c r="B39">
        <v>4</v>
      </c>
      <c r="C39" t="s">
        <v>118</v>
      </c>
      <c r="D39" t="s">
        <v>101</v>
      </c>
      <c r="E39" s="1" t="s">
        <v>9</v>
      </c>
      <c r="F39" s="63" t="s">
        <v>20</v>
      </c>
      <c r="G39" t="s">
        <v>107</v>
      </c>
      <c r="H39">
        <v>1</v>
      </c>
    </row>
    <row r="40" spans="1:8" x14ac:dyDescent="0.3">
      <c r="A40">
        <v>6</v>
      </c>
      <c r="B40">
        <v>5</v>
      </c>
      <c r="C40" t="s">
        <v>124</v>
      </c>
      <c r="D40" t="s">
        <v>101</v>
      </c>
      <c r="E40" s="1" t="s">
        <v>9</v>
      </c>
      <c r="F40" s="63" t="s">
        <v>20</v>
      </c>
      <c r="G40" t="s">
        <v>107</v>
      </c>
      <c r="H40">
        <v>4</v>
      </c>
    </row>
    <row r="41" spans="1:8" x14ac:dyDescent="0.3">
      <c r="A41">
        <v>6</v>
      </c>
      <c r="B41">
        <v>1</v>
      </c>
      <c r="C41" t="s">
        <v>127</v>
      </c>
      <c r="D41" t="s">
        <v>128</v>
      </c>
      <c r="E41" s="1" t="s">
        <v>9</v>
      </c>
      <c r="F41" s="63" t="s">
        <v>20</v>
      </c>
      <c r="G41" t="s">
        <v>107</v>
      </c>
      <c r="H41">
        <v>4</v>
      </c>
    </row>
    <row r="42" spans="1:8" x14ac:dyDescent="0.3">
      <c r="A42">
        <v>6</v>
      </c>
      <c r="B42">
        <v>2</v>
      </c>
      <c r="C42" t="s">
        <v>131</v>
      </c>
      <c r="D42" t="s">
        <v>128</v>
      </c>
      <c r="E42" s="1" t="s">
        <v>9</v>
      </c>
      <c r="F42" s="63" t="s">
        <v>20</v>
      </c>
      <c r="G42" t="s">
        <v>21</v>
      </c>
      <c r="H42">
        <v>5</v>
      </c>
    </row>
    <row r="43" spans="1:8" x14ac:dyDescent="0.3">
      <c r="A43">
        <v>6</v>
      </c>
      <c r="B43">
        <v>3</v>
      </c>
      <c r="C43" t="s">
        <v>132</v>
      </c>
      <c r="D43" t="s">
        <v>128</v>
      </c>
      <c r="E43" s="1" t="s">
        <v>9</v>
      </c>
      <c r="F43" s="63" t="s">
        <v>20</v>
      </c>
      <c r="G43" t="s">
        <v>107</v>
      </c>
      <c r="H43">
        <v>5</v>
      </c>
    </row>
    <row r="44" spans="1:8" x14ac:dyDescent="0.3">
      <c r="A44">
        <v>6</v>
      </c>
      <c r="B44">
        <v>4</v>
      </c>
      <c r="C44" t="s">
        <v>134</v>
      </c>
      <c r="D44" t="s">
        <v>128</v>
      </c>
      <c r="E44" s="1" t="s">
        <v>9</v>
      </c>
      <c r="F44" s="63" t="s">
        <v>20</v>
      </c>
      <c r="G44" t="s">
        <v>107</v>
      </c>
      <c r="H44">
        <v>5</v>
      </c>
    </row>
    <row r="45" spans="1:8" x14ac:dyDescent="0.3">
      <c r="A45">
        <v>3</v>
      </c>
      <c r="C45" t="s">
        <v>106</v>
      </c>
      <c r="D45" t="s">
        <v>101</v>
      </c>
      <c r="E45"/>
      <c r="F45" s="63" t="s">
        <v>20</v>
      </c>
      <c r="G45" t="s">
        <v>82</v>
      </c>
      <c r="H45">
        <v>5</v>
      </c>
    </row>
    <row r="46" spans="1:8" x14ac:dyDescent="0.3">
      <c r="A46">
        <v>3</v>
      </c>
      <c r="C46" t="s">
        <v>113</v>
      </c>
      <c r="D46" t="s">
        <v>101</v>
      </c>
      <c r="E46"/>
      <c r="F46" s="63" t="s">
        <v>20</v>
      </c>
      <c r="G46" t="s">
        <v>82</v>
      </c>
      <c r="H46">
        <v>7</v>
      </c>
    </row>
    <row r="47" spans="1:8" x14ac:dyDescent="0.3">
      <c r="A47">
        <v>3</v>
      </c>
      <c r="C47" t="s">
        <v>118</v>
      </c>
      <c r="D47" t="s">
        <v>101</v>
      </c>
      <c r="E47"/>
      <c r="F47" s="63" t="s">
        <v>20</v>
      </c>
      <c r="G47" t="s">
        <v>82</v>
      </c>
      <c r="H47">
        <v>5</v>
      </c>
    </row>
    <row r="48" spans="1:8" x14ac:dyDescent="0.3">
      <c r="A48">
        <v>3</v>
      </c>
      <c r="C48" t="s">
        <v>141</v>
      </c>
      <c r="D48" t="s">
        <v>101</v>
      </c>
      <c r="E48"/>
      <c r="F48" s="63" t="s">
        <v>20</v>
      </c>
      <c r="G48" t="s">
        <v>21</v>
      </c>
      <c r="H48">
        <v>8</v>
      </c>
    </row>
    <row r="49" spans="1:8" x14ac:dyDescent="0.3">
      <c r="A49">
        <v>3</v>
      </c>
      <c r="C49" t="s">
        <v>127</v>
      </c>
      <c r="D49" t="s">
        <v>128</v>
      </c>
      <c r="E49"/>
      <c r="F49" s="63" t="s">
        <v>20</v>
      </c>
      <c r="G49" t="s">
        <v>82</v>
      </c>
      <c r="H49">
        <v>2</v>
      </c>
    </row>
    <row r="50" spans="1:8" x14ac:dyDescent="0.3">
      <c r="A50">
        <v>3</v>
      </c>
      <c r="C50" t="s">
        <v>131</v>
      </c>
      <c r="D50" t="s">
        <v>128</v>
      </c>
      <c r="E50"/>
      <c r="F50" s="63" t="s">
        <v>20</v>
      </c>
      <c r="G50" t="s">
        <v>82</v>
      </c>
      <c r="H50">
        <v>4</v>
      </c>
    </row>
    <row r="51" spans="1:8" x14ac:dyDescent="0.3">
      <c r="A51">
        <v>3</v>
      </c>
      <c r="C51" t="s">
        <v>134</v>
      </c>
      <c r="D51" t="s">
        <v>128</v>
      </c>
      <c r="E51"/>
      <c r="F51" s="63" t="s">
        <v>20</v>
      </c>
      <c r="G51" t="s">
        <v>82</v>
      </c>
      <c r="H51">
        <v>6</v>
      </c>
    </row>
    <row r="52" spans="1:8" x14ac:dyDescent="0.3">
      <c r="A52">
        <v>3</v>
      </c>
      <c r="C52" t="s">
        <v>135</v>
      </c>
      <c r="D52" t="s">
        <v>128</v>
      </c>
      <c r="E52"/>
      <c r="F52" s="63" t="s">
        <v>20</v>
      </c>
      <c r="G52" t="s">
        <v>82</v>
      </c>
      <c r="H52">
        <v>6</v>
      </c>
    </row>
    <row r="53" spans="1:8" x14ac:dyDescent="0.3">
      <c r="A53">
        <v>2</v>
      </c>
      <c r="B53">
        <v>1</v>
      </c>
      <c r="C53" t="s">
        <v>100</v>
      </c>
      <c r="D53" t="s">
        <v>101</v>
      </c>
      <c r="E53" s="1" t="s">
        <v>9</v>
      </c>
      <c r="F53" s="63" t="s">
        <v>20</v>
      </c>
      <c r="G53" t="s">
        <v>21</v>
      </c>
      <c r="H53">
        <v>8</v>
      </c>
    </row>
    <row r="54" spans="1:8" x14ac:dyDescent="0.3">
      <c r="A54">
        <v>2</v>
      </c>
      <c r="B54">
        <v>2</v>
      </c>
      <c r="C54" t="s">
        <v>106</v>
      </c>
      <c r="D54" t="s">
        <v>101</v>
      </c>
      <c r="E54" s="1" t="s">
        <v>9</v>
      </c>
      <c r="F54" s="63" t="s">
        <v>20</v>
      </c>
      <c r="G54" t="s">
        <v>21</v>
      </c>
      <c r="H54">
        <v>5</v>
      </c>
    </row>
    <row r="55" spans="1:8" x14ac:dyDescent="0.3">
      <c r="A55">
        <v>2</v>
      </c>
      <c r="B55">
        <v>4</v>
      </c>
      <c r="C55" t="s">
        <v>118</v>
      </c>
      <c r="D55" t="s">
        <v>101</v>
      </c>
      <c r="E55" s="1" t="s">
        <v>9</v>
      </c>
      <c r="F55" s="63" t="s">
        <v>20</v>
      </c>
      <c r="G55" t="s">
        <v>21</v>
      </c>
      <c r="H55">
        <v>5</v>
      </c>
    </row>
    <row r="56" spans="1:8" x14ac:dyDescent="0.3">
      <c r="A56">
        <v>2</v>
      </c>
      <c r="B56">
        <v>5</v>
      </c>
      <c r="C56" t="s">
        <v>141</v>
      </c>
      <c r="D56" t="s">
        <v>101</v>
      </c>
      <c r="E56" s="1" t="s">
        <v>9</v>
      </c>
      <c r="F56" s="63" t="s">
        <v>20</v>
      </c>
      <c r="G56" t="s">
        <v>21</v>
      </c>
      <c r="H56">
        <v>6</v>
      </c>
    </row>
    <row r="57" spans="1:8" x14ac:dyDescent="0.3">
      <c r="A57">
        <v>2</v>
      </c>
      <c r="B57">
        <v>7</v>
      </c>
      <c r="C57" t="s">
        <v>131</v>
      </c>
      <c r="D57" t="s">
        <v>128</v>
      </c>
      <c r="E57" s="1" t="s">
        <v>9</v>
      </c>
      <c r="F57" s="63" t="s">
        <v>20</v>
      </c>
      <c r="G57" t="s">
        <v>21</v>
      </c>
      <c r="H57">
        <v>2</v>
      </c>
    </row>
    <row r="58" spans="1:8" x14ac:dyDescent="0.3">
      <c r="A58">
        <v>2</v>
      </c>
      <c r="B58">
        <v>8</v>
      </c>
      <c r="C58" t="s">
        <v>132</v>
      </c>
      <c r="D58" t="s">
        <v>128</v>
      </c>
      <c r="E58" s="1" t="s">
        <v>9</v>
      </c>
      <c r="F58" s="63" t="s">
        <v>20</v>
      </c>
      <c r="G58" t="s">
        <v>21</v>
      </c>
      <c r="H58">
        <v>4</v>
      </c>
    </row>
    <row r="59" spans="1:8" x14ac:dyDescent="0.3">
      <c r="A59">
        <v>2</v>
      </c>
      <c r="B59">
        <v>9</v>
      </c>
      <c r="C59" t="s">
        <v>134</v>
      </c>
      <c r="D59" t="s">
        <v>128</v>
      </c>
      <c r="E59" s="1" t="s">
        <v>9</v>
      </c>
      <c r="F59" s="63" t="s">
        <v>20</v>
      </c>
      <c r="G59" t="s">
        <v>21</v>
      </c>
      <c r="H59">
        <v>5</v>
      </c>
    </row>
    <row r="60" spans="1:8" x14ac:dyDescent="0.3">
      <c r="A60">
        <v>2</v>
      </c>
      <c r="B60">
        <v>10</v>
      </c>
      <c r="C60" t="s">
        <v>135</v>
      </c>
      <c r="D60" t="s">
        <v>128</v>
      </c>
      <c r="E60" s="1" t="s">
        <v>9</v>
      </c>
      <c r="F60" s="63" t="s">
        <v>20</v>
      </c>
      <c r="G60" t="s">
        <v>21</v>
      </c>
      <c r="H60">
        <v>5</v>
      </c>
    </row>
    <row r="61" spans="1:8" x14ac:dyDescent="0.3">
      <c r="A61">
        <v>4</v>
      </c>
      <c r="B61">
        <v>1</v>
      </c>
      <c r="C61" t="s">
        <v>100</v>
      </c>
      <c r="D61" t="s">
        <v>101</v>
      </c>
      <c r="E61" s="1" t="s">
        <v>151</v>
      </c>
      <c r="F61" s="63" t="s">
        <v>20</v>
      </c>
      <c r="G61" t="s">
        <v>107</v>
      </c>
      <c r="H61">
        <v>5</v>
      </c>
    </row>
    <row r="62" spans="1:8" x14ac:dyDescent="0.3">
      <c r="A62">
        <v>4</v>
      </c>
      <c r="B62">
        <v>2</v>
      </c>
      <c r="C62" t="s">
        <v>106</v>
      </c>
      <c r="D62" t="s">
        <v>101</v>
      </c>
      <c r="E62" s="1" t="s">
        <v>149</v>
      </c>
      <c r="F62" s="63" t="s">
        <v>20</v>
      </c>
      <c r="G62" t="s">
        <v>107</v>
      </c>
      <c r="H62">
        <v>7</v>
      </c>
    </row>
    <row r="63" spans="1:8" x14ac:dyDescent="0.3">
      <c r="A63">
        <v>4</v>
      </c>
      <c r="B63">
        <v>3</v>
      </c>
      <c r="C63" t="s">
        <v>113</v>
      </c>
      <c r="D63" t="s">
        <v>101</v>
      </c>
      <c r="E63" s="1" t="s">
        <v>149</v>
      </c>
      <c r="F63" s="63" t="s">
        <v>20</v>
      </c>
      <c r="G63" t="s">
        <v>107</v>
      </c>
      <c r="H63">
        <v>8</v>
      </c>
    </row>
    <row r="64" spans="1:8" x14ac:dyDescent="0.3">
      <c r="A64">
        <v>4</v>
      </c>
      <c r="B64">
        <v>4</v>
      </c>
      <c r="C64" t="s">
        <v>118</v>
      </c>
      <c r="D64" t="s">
        <v>101</v>
      </c>
      <c r="E64" s="1" t="s">
        <v>149</v>
      </c>
      <c r="F64" s="63" t="s">
        <v>20</v>
      </c>
      <c r="G64" t="s">
        <v>107</v>
      </c>
      <c r="H64">
        <v>5</v>
      </c>
    </row>
    <row r="65" spans="1:8" x14ac:dyDescent="0.3">
      <c r="A65">
        <v>4</v>
      </c>
      <c r="B65">
        <v>5</v>
      </c>
      <c r="C65" t="s">
        <v>141</v>
      </c>
      <c r="D65" t="s">
        <v>101</v>
      </c>
      <c r="E65" s="1" t="s">
        <v>149</v>
      </c>
      <c r="F65" s="63" t="s">
        <v>20</v>
      </c>
      <c r="G65" t="s">
        <v>107</v>
      </c>
      <c r="H65">
        <v>8</v>
      </c>
    </row>
    <row r="66" spans="1:8" x14ac:dyDescent="0.3">
      <c r="A66">
        <v>4</v>
      </c>
      <c r="B66">
        <v>1</v>
      </c>
      <c r="C66" t="s">
        <v>127</v>
      </c>
      <c r="D66" t="s">
        <v>128</v>
      </c>
      <c r="E66" s="1" t="s">
        <v>149</v>
      </c>
      <c r="F66" s="63" t="s">
        <v>20</v>
      </c>
      <c r="G66" t="s">
        <v>107</v>
      </c>
      <c r="H66">
        <v>3</v>
      </c>
    </row>
    <row r="67" spans="1:8" x14ac:dyDescent="0.3">
      <c r="A67">
        <v>4</v>
      </c>
      <c r="B67">
        <v>2</v>
      </c>
      <c r="C67" t="s">
        <v>131</v>
      </c>
      <c r="D67" t="s">
        <v>128</v>
      </c>
      <c r="E67" s="1" t="s">
        <v>149</v>
      </c>
      <c r="F67" s="63" t="s">
        <v>20</v>
      </c>
      <c r="G67" t="s">
        <v>107</v>
      </c>
      <c r="H67">
        <v>4</v>
      </c>
    </row>
    <row r="68" spans="1:8" x14ac:dyDescent="0.3">
      <c r="A68">
        <v>4</v>
      </c>
      <c r="B68">
        <v>4</v>
      </c>
      <c r="C68" t="s">
        <v>134</v>
      </c>
      <c r="D68" t="s">
        <v>128</v>
      </c>
      <c r="E68" s="1" t="s">
        <v>149</v>
      </c>
      <c r="F68" s="63" t="s">
        <v>20</v>
      </c>
      <c r="G68" t="s">
        <v>107</v>
      </c>
      <c r="H68">
        <v>4</v>
      </c>
    </row>
    <row r="69" spans="1:8" x14ac:dyDescent="0.3">
      <c r="A69">
        <v>4</v>
      </c>
      <c r="B69">
        <v>5</v>
      </c>
      <c r="C69" t="s">
        <v>135</v>
      </c>
      <c r="D69" t="s">
        <v>128</v>
      </c>
      <c r="E69" s="1" t="s">
        <v>149</v>
      </c>
      <c r="F69" s="63" t="s">
        <v>20</v>
      </c>
      <c r="G69" t="s">
        <v>107</v>
      </c>
      <c r="H69">
        <v>2</v>
      </c>
    </row>
    <row r="70" spans="1:8" x14ac:dyDescent="0.3">
      <c r="A70">
        <v>1</v>
      </c>
      <c r="B70">
        <v>1</v>
      </c>
      <c r="C70" t="s">
        <v>100</v>
      </c>
      <c r="D70" t="s">
        <v>101</v>
      </c>
      <c r="E70" s="1" t="s">
        <v>9</v>
      </c>
      <c r="F70" s="63" t="s">
        <v>20</v>
      </c>
      <c r="G70" t="s">
        <v>21</v>
      </c>
      <c r="H70">
        <v>8</v>
      </c>
    </row>
    <row r="71" spans="1:8" x14ac:dyDescent="0.3">
      <c r="A71">
        <v>1</v>
      </c>
      <c r="C71" t="s">
        <v>106</v>
      </c>
      <c r="D71" t="s">
        <v>101</v>
      </c>
      <c r="E71" s="1" t="s">
        <v>9</v>
      </c>
      <c r="F71" s="63" t="s">
        <v>20</v>
      </c>
      <c r="G71" t="s">
        <v>21</v>
      </c>
      <c r="H71">
        <v>9</v>
      </c>
    </row>
    <row r="72" spans="1:8" x14ac:dyDescent="0.3">
      <c r="A72">
        <v>1</v>
      </c>
      <c r="C72" t="s">
        <v>113</v>
      </c>
      <c r="D72" t="s">
        <v>101</v>
      </c>
      <c r="E72" s="1" t="s">
        <v>9</v>
      </c>
      <c r="F72" s="63" t="s">
        <v>20</v>
      </c>
      <c r="G72" t="s">
        <v>21</v>
      </c>
      <c r="H72">
        <v>6</v>
      </c>
    </row>
    <row r="73" spans="1:8" x14ac:dyDescent="0.3">
      <c r="A73">
        <v>1</v>
      </c>
      <c r="C73" t="s">
        <v>118</v>
      </c>
      <c r="D73" t="s">
        <v>101</v>
      </c>
      <c r="E73" s="1" t="s">
        <v>9</v>
      </c>
      <c r="F73" s="63" t="s">
        <v>20</v>
      </c>
      <c r="G73" t="s">
        <v>21</v>
      </c>
      <c r="H73">
        <v>7</v>
      </c>
    </row>
    <row r="74" spans="1:8" x14ac:dyDescent="0.3">
      <c r="A74">
        <v>1</v>
      </c>
      <c r="C74" t="s">
        <v>127</v>
      </c>
      <c r="D74" t="s">
        <v>128</v>
      </c>
      <c r="E74" s="1" t="s">
        <v>9</v>
      </c>
      <c r="F74" s="63" t="s">
        <v>20</v>
      </c>
      <c r="G74" t="s">
        <v>21</v>
      </c>
      <c r="H74">
        <v>4</v>
      </c>
    </row>
    <row r="75" spans="1:8" x14ac:dyDescent="0.3">
      <c r="A75">
        <v>1</v>
      </c>
      <c r="C75" t="s">
        <v>131</v>
      </c>
      <c r="D75" t="s">
        <v>128</v>
      </c>
      <c r="E75" s="1" t="s">
        <v>9</v>
      </c>
      <c r="F75" s="63" t="s">
        <v>20</v>
      </c>
      <c r="G75" t="s">
        <v>21</v>
      </c>
      <c r="H75">
        <v>5</v>
      </c>
    </row>
    <row r="76" spans="1:8" x14ac:dyDescent="0.3">
      <c r="A76">
        <v>1</v>
      </c>
      <c r="C76" t="s">
        <v>132</v>
      </c>
      <c r="D76" t="s">
        <v>128</v>
      </c>
      <c r="E76" s="1" t="s">
        <v>9</v>
      </c>
      <c r="F76" s="63" t="s">
        <v>20</v>
      </c>
      <c r="G76" t="s">
        <v>21</v>
      </c>
      <c r="H76">
        <v>4</v>
      </c>
    </row>
    <row r="77" spans="1:8" x14ac:dyDescent="0.3">
      <c r="A77">
        <v>1</v>
      </c>
      <c r="C77" t="s">
        <v>134</v>
      </c>
      <c r="D77" t="s">
        <v>128</v>
      </c>
      <c r="E77" s="1" t="s">
        <v>9</v>
      </c>
      <c r="F77" s="63" t="s">
        <v>20</v>
      </c>
      <c r="G77" t="s">
        <v>21</v>
      </c>
      <c r="H77">
        <v>4</v>
      </c>
    </row>
    <row r="78" spans="1:8" x14ac:dyDescent="0.3">
      <c r="A78">
        <v>5</v>
      </c>
      <c r="C78" t="s">
        <v>132</v>
      </c>
      <c r="D78" t="s">
        <v>128</v>
      </c>
      <c r="E78" s="1" t="s">
        <v>9</v>
      </c>
      <c r="F78" s="63" t="s">
        <v>20</v>
      </c>
      <c r="G78" t="s">
        <v>21</v>
      </c>
      <c r="H78">
        <v>5</v>
      </c>
    </row>
    <row r="79" spans="1:8" x14ac:dyDescent="0.3">
      <c r="A79">
        <v>5</v>
      </c>
      <c r="C79" t="s">
        <v>134</v>
      </c>
      <c r="D79" t="s">
        <v>128</v>
      </c>
      <c r="E79" s="1" t="s">
        <v>9</v>
      </c>
      <c r="F79" s="63" t="s">
        <v>20</v>
      </c>
      <c r="G79" t="s">
        <v>21</v>
      </c>
      <c r="H79">
        <v>5</v>
      </c>
    </row>
    <row r="80" spans="1:8" x14ac:dyDescent="0.3">
      <c r="A80">
        <v>5</v>
      </c>
      <c r="C80" t="s">
        <v>135</v>
      </c>
      <c r="D80" t="s">
        <v>128</v>
      </c>
      <c r="E80" s="1" t="s">
        <v>9</v>
      </c>
      <c r="F80" s="63" t="s">
        <v>20</v>
      </c>
      <c r="G80" t="s">
        <v>21</v>
      </c>
      <c r="H80">
        <v>6</v>
      </c>
    </row>
    <row r="81" spans="1:8" x14ac:dyDescent="0.3">
      <c r="A81">
        <v>5</v>
      </c>
      <c r="C81" t="s">
        <v>100</v>
      </c>
      <c r="D81" t="s">
        <v>101</v>
      </c>
      <c r="E81" s="1" t="s">
        <v>9</v>
      </c>
      <c r="F81" s="63" t="s">
        <v>20</v>
      </c>
      <c r="G81" t="s">
        <v>21</v>
      </c>
      <c r="H81">
        <v>8</v>
      </c>
    </row>
    <row r="82" spans="1:8" x14ac:dyDescent="0.3">
      <c r="A82">
        <v>5</v>
      </c>
      <c r="C82" t="s">
        <v>113</v>
      </c>
      <c r="D82" t="s">
        <v>101</v>
      </c>
      <c r="E82" s="1" t="s">
        <v>9</v>
      </c>
      <c r="F82" s="63" t="s">
        <v>20</v>
      </c>
      <c r="G82" t="s">
        <v>21</v>
      </c>
      <c r="H82">
        <v>10</v>
      </c>
    </row>
    <row r="83" spans="1:8" x14ac:dyDescent="0.3">
      <c r="A83">
        <v>5</v>
      </c>
      <c r="C83" t="s">
        <v>141</v>
      </c>
      <c r="D83" t="s">
        <v>101</v>
      </c>
      <c r="E83" s="1" t="s">
        <v>9</v>
      </c>
      <c r="F83" s="63" t="s">
        <v>20</v>
      </c>
      <c r="G83" t="s">
        <v>21</v>
      </c>
      <c r="H83">
        <v>5</v>
      </c>
    </row>
    <row r="84" spans="1:8" x14ac:dyDescent="0.3">
      <c r="A84">
        <v>6</v>
      </c>
      <c r="B84">
        <v>3</v>
      </c>
      <c r="C84" t="s">
        <v>132</v>
      </c>
      <c r="D84" t="s">
        <v>128</v>
      </c>
      <c r="E84" s="1" t="s">
        <v>125</v>
      </c>
      <c r="F84" s="63" t="s">
        <v>133</v>
      </c>
      <c r="H84">
        <v>5</v>
      </c>
    </row>
    <row r="85" spans="1:8" x14ac:dyDescent="0.3">
      <c r="A85">
        <v>6</v>
      </c>
      <c r="B85">
        <v>4</v>
      </c>
      <c r="C85" t="s">
        <v>134</v>
      </c>
      <c r="D85" t="s">
        <v>128</v>
      </c>
      <c r="E85" s="1" t="s">
        <v>125</v>
      </c>
      <c r="F85" s="63" t="s">
        <v>133</v>
      </c>
      <c r="H85">
        <v>8</v>
      </c>
    </row>
    <row r="86" spans="1:8" x14ac:dyDescent="0.3">
      <c r="A86">
        <v>2</v>
      </c>
      <c r="B86">
        <v>4</v>
      </c>
      <c r="C86" t="s">
        <v>118</v>
      </c>
      <c r="D86" t="s">
        <v>101</v>
      </c>
      <c r="E86" s="1" t="s">
        <v>125</v>
      </c>
      <c r="F86" s="3" t="s">
        <v>146</v>
      </c>
      <c r="H86">
        <v>2</v>
      </c>
    </row>
    <row r="87" spans="1:8" x14ac:dyDescent="0.3">
      <c r="A87">
        <v>2</v>
      </c>
      <c r="B87">
        <v>9</v>
      </c>
      <c r="C87" t="s">
        <v>134</v>
      </c>
      <c r="D87" t="s">
        <v>128</v>
      </c>
      <c r="E87" s="1" t="s">
        <v>125</v>
      </c>
      <c r="F87" s="3" t="s">
        <v>146</v>
      </c>
      <c r="H87">
        <v>1</v>
      </c>
    </row>
    <row r="88" spans="1:8" x14ac:dyDescent="0.3">
      <c r="A88">
        <v>2</v>
      </c>
      <c r="B88">
        <v>10</v>
      </c>
      <c r="C88" t="s">
        <v>135</v>
      </c>
      <c r="D88" t="s">
        <v>128</v>
      </c>
      <c r="E88" s="1" t="s">
        <v>125</v>
      </c>
      <c r="F88" s="3" t="s">
        <v>146</v>
      </c>
      <c r="H88">
        <v>7</v>
      </c>
    </row>
    <row r="89" spans="1:8" x14ac:dyDescent="0.3">
      <c r="A89">
        <v>6</v>
      </c>
      <c r="B89">
        <v>5</v>
      </c>
      <c r="C89" t="s">
        <v>124</v>
      </c>
      <c r="D89" t="s">
        <v>101</v>
      </c>
      <c r="E89" s="1" t="s">
        <v>125</v>
      </c>
      <c r="F89" s="63" t="s">
        <v>126</v>
      </c>
      <c r="H89">
        <v>8</v>
      </c>
    </row>
    <row r="90" spans="1:8" x14ac:dyDescent="0.3">
      <c r="A90">
        <v>3</v>
      </c>
      <c r="C90" t="s">
        <v>113</v>
      </c>
      <c r="D90" t="s">
        <v>101</v>
      </c>
      <c r="E90"/>
      <c r="F90" s="63" t="s">
        <v>126</v>
      </c>
      <c r="H90">
        <v>6</v>
      </c>
    </row>
    <row r="91" spans="1:8" x14ac:dyDescent="0.3">
      <c r="A91">
        <v>3</v>
      </c>
      <c r="C91" t="s">
        <v>118</v>
      </c>
      <c r="D91" t="s">
        <v>101</v>
      </c>
      <c r="E91"/>
      <c r="F91" s="63" t="s">
        <v>126</v>
      </c>
      <c r="H91">
        <v>8</v>
      </c>
    </row>
    <row r="92" spans="1:8" x14ac:dyDescent="0.3">
      <c r="A92">
        <v>3</v>
      </c>
      <c r="C92" t="s">
        <v>141</v>
      </c>
      <c r="D92" t="s">
        <v>101</v>
      </c>
      <c r="E92"/>
      <c r="F92" s="63" t="s">
        <v>126</v>
      </c>
      <c r="H92">
        <v>8</v>
      </c>
    </row>
    <row r="93" spans="1:8" x14ac:dyDescent="0.3">
      <c r="A93">
        <v>3</v>
      </c>
      <c r="C93" t="s">
        <v>134</v>
      </c>
      <c r="D93" t="s">
        <v>128</v>
      </c>
      <c r="E93"/>
      <c r="F93" s="63" t="s">
        <v>126</v>
      </c>
      <c r="H93">
        <v>3</v>
      </c>
    </row>
    <row r="94" spans="1:8" x14ac:dyDescent="0.3">
      <c r="A94">
        <v>2</v>
      </c>
      <c r="B94">
        <v>10</v>
      </c>
      <c r="C94" t="s">
        <v>135</v>
      </c>
      <c r="D94" t="s">
        <v>128</v>
      </c>
      <c r="E94" s="1" t="s">
        <v>125</v>
      </c>
      <c r="F94" s="63" t="s">
        <v>126</v>
      </c>
      <c r="H94">
        <v>2</v>
      </c>
    </row>
    <row r="95" spans="1:8" x14ac:dyDescent="0.3">
      <c r="A95">
        <v>4</v>
      </c>
      <c r="B95">
        <v>1</v>
      </c>
      <c r="C95" t="s">
        <v>100</v>
      </c>
      <c r="D95" t="s">
        <v>101</v>
      </c>
      <c r="E95" s="1" t="s">
        <v>154</v>
      </c>
      <c r="F95" s="63" t="s">
        <v>126</v>
      </c>
      <c r="H95">
        <v>5</v>
      </c>
    </row>
    <row r="96" spans="1:8" x14ac:dyDescent="0.3">
      <c r="A96">
        <v>4</v>
      </c>
      <c r="B96">
        <v>4</v>
      </c>
      <c r="C96" t="s">
        <v>118</v>
      </c>
      <c r="D96" t="s">
        <v>101</v>
      </c>
      <c r="E96" s="1" t="s">
        <v>154</v>
      </c>
      <c r="F96" s="63" t="s">
        <v>126</v>
      </c>
      <c r="H96">
        <v>2</v>
      </c>
    </row>
    <row r="97" spans="1:9" x14ac:dyDescent="0.3">
      <c r="A97">
        <v>4</v>
      </c>
      <c r="B97">
        <v>2</v>
      </c>
      <c r="C97" t="s">
        <v>131</v>
      </c>
      <c r="D97" t="s">
        <v>128</v>
      </c>
      <c r="E97" s="1" t="s">
        <v>154</v>
      </c>
      <c r="F97" s="63" t="s">
        <v>126</v>
      </c>
      <c r="H97">
        <v>2</v>
      </c>
    </row>
    <row r="98" spans="1:9" x14ac:dyDescent="0.3">
      <c r="A98">
        <v>1</v>
      </c>
      <c r="C98" t="s">
        <v>113</v>
      </c>
      <c r="D98" t="s">
        <v>101</v>
      </c>
      <c r="E98" s="1" t="s">
        <v>125</v>
      </c>
      <c r="F98" s="63" t="s">
        <v>126</v>
      </c>
      <c r="H98">
        <v>5</v>
      </c>
    </row>
    <row r="99" spans="1:9" x14ac:dyDescent="0.3">
      <c r="A99">
        <v>1</v>
      </c>
      <c r="C99" t="s">
        <v>127</v>
      </c>
      <c r="D99" t="s">
        <v>128</v>
      </c>
      <c r="E99" s="1" t="s">
        <v>125</v>
      </c>
      <c r="F99" s="63" t="s">
        <v>126</v>
      </c>
      <c r="H99">
        <v>2</v>
      </c>
    </row>
    <row r="100" spans="1:9" x14ac:dyDescent="0.3">
      <c r="A100">
        <v>1</v>
      </c>
      <c r="C100" t="s">
        <v>132</v>
      </c>
      <c r="D100" t="s">
        <v>128</v>
      </c>
      <c r="E100" s="1" t="s">
        <v>125</v>
      </c>
      <c r="F100" s="63" t="s">
        <v>126</v>
      </c>
      <c r="H100">
        <v>5</v>
      </c>
    </row>
    <row r="101" spans="1:9" x14ac:dyDescent="0.3">
      <c r="A101">
        <v>5</v>
      </c>
      <c r="C101" t="s">
        <v>135</v>
      </c>
      <c r="D101" t="s">
        <v>128</v>
      </c>
      <c r="E101" s="1" t="s">
        <v>125</v>
      </c>
      <c r="F101" s="63" t="s">
        <v>126</v>
      </c>
      <c r="H101">
        <v>4</v>
      </c>
    </row>
    <row r="102" spans="1:9" x14ac:dyDescent="0.3">
      <c r="A102">
        <v>5</v>
      </c>
      <c r="C102" t="s">
        <v>113</v>
      </c>
      <c r="D102" t="s">
        <v>101</v>
      </c>
      <c r="E102" s="1" t="s">
        <v>125</v>
      </c>
      <c r="F102" s="63" t="s">
        <v>126</v>
      </c>
      <c r="H102">
        <v>2</v>
      </c>
    </row>
    <row r="103" spans="1:9" x14ac:dyDescent="0.3">
      <c r="A103">
        <v>6</v>
      </c>
      <c r="B103">
        <v>1</v>
      </c>
      <c r="C103" t="s">
        <v>127</v>
      </c>
      <c r="D103" t="s">
        <v>128</v>
      </c>
      <c r="E103" s="1" t="s">
        <v>9</v>
      </c>
      <c r="F103" s="63" t="s">
        <v>129</v>
      </c>
      <c r="G103" t="s">
        <v>130</v>
      </c>
      <c r="H103">
        <v>1</v>
      </c>
      <c r="I103">
        <f>MEDIAN(H103:H108)</f>
        <v>2</v>
      </c>
    </row>
    <row r="104" spans="1:9" x14ac:dyDescent="0.3">
      <c r="A104">
        <v>6</v>
      </c>
      <c r="B104">
        <v>2</v>
      </c>
      <c r="C104" t="s">
        <v>131</v>
      </c>
      <c r="D104" t="s">
        <v>128</v>
      </c>
      <c r="E104" s="1" t="s">
        <v>9</v>
      </c>
      <c r="F104" s="63" t="s">
        <v>129</v>
      </c>
      <c r="G104" t="s">
        <v>130</v>
      </c>
      <c r="H104">
        <v>2</v>
      </c>
    </row>
    <row r="105" spans="1:9" x14ac:dyDescent="0.3">
      <c r="A105">
        <v>6</v>
      </c>
      <c r="B105">
        <v>3</v>
      </c>
      <c r="C105" t="s">
        <v>132</v>
      </c>
      <c r="D105" t="s">
        <v>128</v>
      </c>
      <c r="E105" s="1" t="s">
        <v>9</v>
      </c>
      <c r="F105" s="63" t="s">
        <v>129</v>
      </c>
      <c r="G105" t="s">
        <v>130</v>
      </c>
      <c r="H105">
        <v>3</v>
      </c>
    </row>
    <row r="106" spans="1:9" x14ac:dyDescent="0.3">
      <c r="A106">
        <v>2</v>
      </c>
      <c r="B106">
        <v>9</v>
      </c>
      <c r="C106" t="s">
        <v>134</v>
      </c>
      <c r="D106" t="s">
        <v>128</v>
      </c>
      <c r="E106" s="1" t="s">
        <v>9</v>
      </c>
      <c r="F106" s="3" t="s">
        <v>129</v>
      </c>
      <c r="G106" t="s">
        <v>130</v>
      </c>
      <c r="H106">
        <v>1</v>
      </c>
    </row>
    <row r="107" spans="1:9" x14ac:dyDescent="0.3">
      <c r="A107">
        <v>2</v>
      </c>
      <c r="B107">
        <v>10</v>
      </c>
      <c r="C107" t="s">
        <v>135</v>
      </c>
      <c r="D107" t="s">
        <v>128</v>
      </c>
      <c r="E107" s="1" t="s">
        <v>9</v>
      </c>
      <c r="F107" s="3" t="s">
        <v>129</v>
      </c>
      <c r="G107" t="s">
        <v>130</v>
      </c>
      <c r="H107">
        <v>2</v>
      </c>
    </row>
    <row r="108" spans="1:9" x14ac:dyDescent="0.3">
      <c r="A108">
        <v>1</v>
      </c>
      <c r="C108" t="s">
        <v>134</v>
      </c>
      <c r="D108" t="s">
        <v>128</v>
      </c>
      <c r="E108" s="1" t="s">
        <v>9</v>
      </c>
      <c r="F108" s="3" t="s">
        <v>129</v>
      </c>
      <c r="G108" t="s">
        <v>130</v>
      </c>
      <c r="H108">
        <v>2</v>
      </c>
    </row>
    <row r="109" spans="1:9" x14ac:dyDescent="0.3">
      <c r="A109">
        <v>1</v>
      </c>
      <c r="B109">
        <v>1</v>
      </c>
      <c r="C109" t="s">
        <v>100</v>
      </c>
      <c r="D109" t="s">
        <v>101</v>
      </c>
      <c r="E109" s="1" t="s">
        <v>9</v>
      </c>
      <c r="F109" s="3" t="s">
        <v>156</v>
      </c>
      <c r="G109" t="s">
        <v>157</v>
      </c>
      <c r="H109">
        <v>6</v>
      </c>
    </row>
    <row r="110" spans="1:9" x14ac:dyDescent="0.3">
      <c r="A110">
        <v>6</v>
      </c>
      <c r="B110">
        <v>2</v>
      </c>
      <c r="C110" t="s">
        <v>106</v>
      </c>
      <c r="D110" t="s">
        <v>101</v>
      </c>
      <c r="E110" s="1" t="s">
        <v>9</v>
      </c>
      <c r="F110" s="63" t="s">
        <v>108</v>
      </c>
      <c r="G110" t="s">
        <v>109</v>
      </c>
      <c r="H110">
        <v>5</v>
      </c>
    </row>
    <row r="111" spans="1:9" x14ac:dyDescent="0.3">
      <c r="A111">
        <v>6</v>
      </c>
      <c r="B111">
        <v>4</v>
      </c>
      <c r="C111" t="s">
        <v>118</v>
      </c>
      <c r="D111" t="s">
        <v>101</v>
      </c>
      <c r="E111" s="1" t="s">
        <v>9</v>
      </c>
      <c r="F111" s="63" t="s">
        <v>108</v>
      </c>
      <c r="G111" t="s">
        <v>109</v>
      </c>
      <c r="H111">
        <v>5</v>
      </c>
    </row>
    <row r="112" spans="1:9" x14ac:dyDescent="0.3">
      <c r="A112">
        <v>6</v>
      </c>
      <c r="B112">
        <v>5</v>
      </c>
      <c r="C112" t="s">
        <v>124</v>
      </c>
      <c r="D112" t="s">
        <v>101</v>
      </c>
      <c r="E112" s="1" t="s">
        <v>9</v>
      </c>
      <c r="F112" s="63" t="s">
        <v>108</v>
      </c>
      <c r="G112" t="s">
        <v>109</v>
      </c>
      <c r="H112">
        <v>7</v>
      </c>
    </row>
    <row r="113" spans="1:8" x14ac:dyDescent="0.3">
      <c r="A113">
        <v>6</v>
      </c>
      <c r="B113">
        <v>2</v>
      </c>
      <c r="C113" t="s">
        <v>131</v>
      </c>
      <c r="D113" t="s">
        <v>128</v>
      </c>
      <c r="E113" s="1" t="s">
        <v>9</v>
      </c>
      <c r="F113" s="63" t="s">
        <v>108</v>
      </c>
      <c r="G113" t="s">
        <v>109</v>
      </c>
      <c r="H113">
        <v>5</v>
      </c>
    </row>
    <row r="114" spans="1:8" x14ac:dyDescent="0.3">
      <c r="A114">
        <v>3</v>
      </c>
      <c r="C114" t="s">
        <v>100</v>
      </c>
      <c r="D114" t="s">
        <v>101</v>
      </c>
      <c r="E114"/>
      <c r="F114" s="63" t="s">
        <v>108</v>
      </c>
      <c r="G114" t="s">
        <v>109</v>
      </c>
      <c r="H114">
        <v>3</v>
      </c>
    </row>
    <row r="115" spans="1:8" x14ac:dyDescent="0.3">
      <c r="A115">
        <v>3</v>
      </c>
      <c r="C115" t="s">
        <v>106</v>
      </c>
      <c r="D115" t="s">
        <v>101</v>
      </c>
      <c r="E115"/>
      <c r="F115" s="63" t="s">
        <v>108</v>
      </c>
      <c r="G115" t="s">
        <v>109</v>
      </c>
      <c r="H115">
        <v>4</v>
      </c>
    </row>
    <row r="116" spans="1:8" x14ac:dyDescent="0.3">
      <c r="A116">
        <v>3</v>
      </c>
      <c r="C116" t="s">
        <v>113</v>
      </c>
      <c r="D116" t="s">
        <v>101</v>
      </c>
      <c r="E116"/>
      <c r="F116" s="63" t="s">
        <v>108</v>
      </c>
      <c r="G116" t="s">
        <v>109</v>
      </c>
      <c r="H116">
        <v>5</v>
      </c>
    </row>
    <row r="117" spans="1:8" x14ac:dyDescent="0.3">
      <c r="A117">
        <v>3</v>
      </c>
      <c r="C117" t="s">
        <v>141</v>
      </c>
      <c r="D117" t="s">
        <v>101</v>
      </c>
      <c r="E117"/>
      <c r="F117" s="63" t="s">
        <v>108</v>
      </c>
      <c r="G117" t="s">
        <v>109</v>
      </c>
      <c r="H117">
        <v>6</v>
      </c>
    </row>
    <row r="118" spans="1:8" x14ac:dyDescent="0.3">
      <c r="A118">
        <v>3</v>
      </c>
      <c r="C118" t="s">
        <v>134</v>
      </c>
      <c r="D118" t="s">
        <v>128</v>
      </c>
      <c r="E118"/>
      <c r="F118" s="63" t="s">
        <v>108</v>
      </c>
      <c r="G118" t="s">
        <v>109</v>
      </c>
      <c r="H118">
        <v>6</v>
      </c>
    </row>
    <row r="119" spans="1:8" x14ac:dyDescent="0.3">
      <c r="A119">
        <v>3</v>
      </c>
      <c r="C119" t="s">
        <v>135</v>
      </c>
      <c r="D119" t="s">
        <v>128</v>
      </c>
      <c r="E119"/>
      <c r="F119" s="63" t="s">
        <v>108</v>
      </c>
      <c r="G119" t="s">
        <v>109</v>
      </c>
      <c r="H119">
        <v>5</v>
      </c>
    </row>
    <row r="120" spans="1:8" x14ac:dyDescent="0.3">
      <c r="A120">
        <v>2</v>
      </c>
      <c r="B120">
        <v>3</v>
      </c>
      <c r="C120" t="s">
        <v>113</v>
      </c>
      <c r="D120" t="s">
        <v>101</v>
      </c>
      <c r="E120" s="1" t="s">
        <v>9</v>
      </c>
      <c r="F120" s="63" t="s">
        <v>108</v>
      </c>
      <c r="G120" t="s">
        <v>109</v>
      </c>
      <c r="H120">
        <v>3</v>
      </c>
    </row>
    <row r="121" spans="1:8" x14ac:dyDescent="0.3">
      <c r="A121">
        <v>2</v>
      </c>
      <c r="B121">
        <v>5</v>
      </c>
      <c r="C121" t="s">
        <v>141</v>
      </c>
      <c r="D121" t="s">
        <v>101</v>
      </c>
      <c r="E121" s="1" t="s">
        <v>9</v>
      </c>
      <c r="F121" s="63" t="s">
        <v>108</v>
      </c>
      <c r="G121" t="s">
        <v>109</v>
      </c>
      <c r="H121">
        <v>5</v>
      </c>
    </row>
    <row r="122" spans="1:8" x14ac:dyDescent="0.3">
      <c r="A122">
        <v>2</v>
      </c>
      <c r="B122">
        <v>6</v>
      </c>
      <c r="C122" t="s">
        <v>127</v>
      </c>
      <c r="D122" t="s">
        <v>128</v>
      </c>
      <c r="E122" s="1" t="s">
        <v>9</v>
      </c>
      <c r="F122" s="63" t="s">
        <v>108</v>
      </c>
      <c r="G122" t="s">
        <v>109</v>
      </c>
      <c r="H122">
        <v>2</v>
      </c>
    </row>
    <row r="123" spans="1:8" x14ac:dyDescent="0.3">
      <c r="A123">
        <v>2</v>
      </c>
      <c r="B123">
        <v>9</v>
      </c>
      <c r="C123" t="s">
        <v>134</v>
      </c>
      <c r="D123" t="s">
        <v>128</v>
      </c>
      <c r="E123" s="1" t="s">
        <v>9</v>
      </c>
      <c r="F123" s="63" t="s">
        <v>108</v>
      </c>
      <c r="G123" t="s">
        <v>109</v>
      </c>
      <c r="H123">
        <v>6</v>
      </c>
    </row>
    <row r="124" spans="1:8" x14ac:dyDescent="0.3">
      <c r="A124">
        <v>2</v>
      </c>
      <c r="B124">
        <v>10</v>
      </c>
      <c r="C124" t="s">
        <v>135</v>
      </c>
      <c r="D124" t="s">
        <v>128</v>
      </c>
      <c r="E124" s="1" t="s">
        <v>9</v>
      </c>
      <c r="F124" s="63" t="s">
        <v>108</v>
      </c>
      <c r="G124" t="s">
        <v>109</v>
      </c>
      <c r="H124">
        <v>1</v>
      </c>
    </row>
    <row r="125" spans="1:8" x14ac:dyDescent="0.3">
      <c r="A125">
        <v>4</v>
      </c>
      <c r="B125">
        <v>1</v>
      </c>
      <c r="C125" t="s">
        <v>100</v>
      </c>
      <c r="D125" t="s">
        <v>101</v>
      </c>
      <c r="E125" s="1" t="s">
        <v>151</v>
      </c>
      <c r="F125" s="63" t="s">
        <v>108</v>
      </c>
      <c r="G125" t="s">
        <v>152</v>
      </c>
      <c r="H125">
        <v>4</v>
      </c>
    </row>
    <row r="126" spans="1:8" x14ac:dyDescent="0.3">
      <c r="A126">
        <v>4</v>
      </c>
      <c r="B126">
        <v>2</v>
      </c>
      <c r="C126" t="s">
        <v>106</v>
      </c>
      <c r="D126" t="s">
        <v>101</v>
      </c>
      <c r="E126" s="1" t="s">
        <v>149</v>
      </c>
      <c r="F126" s="63" t="s">
        <v>108</v>
      </c>
      <c r="G126" t="s">
        <v>152</v>
      </c>
      <c r="H126">
        <v>3</v>
      </c>
    </row>
    <row r="127" spans="1:8" x14ac:dyDescent="0.3">
      <c r="A127">
        <v>4</v>
      </c>
      <c r="B127">
        <v>3</v>
      </c>
      <c r="C127" t="s">
        <v>113</v>
      </c>
      <c r="D127" t="s">
        <v>101</v>
      </c>
      <c r="E127" s="1" t="s">
        <v>149</v>
      </c>
      <c r="F127" s="63" t="s">
        <v>108</v>
      </c>
      <c r="G127" t="s">
        <v>152</v>
      </c>
      <c r="H127">
        <v>4</v>
      </c>
    </row>
    <row r="128" spans="1:8" x14ac:dyDescent="0.3">
      <c r="A128">
        <v>4</v>
      </c>
      <c r="B128">
        <v>4</v>
      </c>
      <c r="C128" t="s">
        <v>118</v>
      </c>
      <c r="D128" t="s">
        <v>101</v>
      </c>
      <c r="E128" s="1" t="s">
        <v>149</v>
      </c>
      <c r="F128" s="63" t="s">
        <v>108</v>
      </c>
      <c r="G128" t="s">
        <v>152</v>
      </c>
      <c r="H128">
        <v>3</v>
      </c>
    </row>
    <row r="129" spans="1:8" x14ac:dyDescent="0.3">
      <c r="A129">
        <v>4</v>
      </c>
      <c r="B129">
        <v>5</v>
      </c>
      <c r="C129" t="s">
        <v>141</v>
      </c>
      <c r="D129" t="s">
        <v>101</v>
      </c>
      <c r="E129" s="1" t="s">
        <v>149</v>
      </c>
      <c r="F129" s="63" t="s">
        <v>108</v>
      </c>
      <c r="G129" t="s">
        <v>152</v>
      </c>
      <c r="H129">
        <v>2</v>
      </c>
    </row>
    <row r="130" spans="1:8" x14ac:dyDescent="0.3">
      <c r="A130">
        <v>4</v>
      </c>
      <c r="B130">
        <v>1</v>
      </c>
      <c r="C130" t="s">
        <v>127</v>
      </c>
      <c r="D130" t="s">
        <v>128</v>
      </c>
      <c r="E130" s="1" t="s">
        <v>149</v>
      </c>
      <c r="F130" s="63" t="s">
        <v>108</v>
      </c>
      <c r="G130" t="s">
        <v>152</v>
      </c>
      <c r="H130">
        <v>2</v>
      </c>
    </row>
    <row r="131" spans="1:8" x14ac:dyDescent="0.3">
      <c r="A131">
        <v>4</v>
      </c>
      <c r="B131">
        <v>2</v>
      </c>
      <c r="C131" t="s">
        <v>131</v>
      </c>
      <c r="D131" t="s">
        <v>128</v>
      </c>
      <c r="E131" s="1" t="s">
        <v>149</v>
      </c>
      <c r="F131" s="63" t="s">
        <v>108</v>
      </c>
      <c r="G131" t="s">
        <v>152</v>
      </c>
      <c r="H131">
        <v>3</v>
      </c>
    </row>
    <row r="132" spans="1:8" x14ac:dyDescent="0.3">
      <c r="A132">
        <v>1</v>
      </c>
      <c r="B132">
        <v>1</v>
      </c>
      <c r="C132" t="s">
        <v>100</v>
      </c>
      <c r="D132" t="s">
        <v>101</v>
      </c>
      <c r="E132" s="1" t="s">
        <v>9</v>
      </c>
      <c r="F132" s="63" t="s">
        <v>108</v>
      </c>
      <c r="G132" t="s">
        <v>109</v>
      </c>
      <c r="H132">
        <v>4</v>
      </c>
    </row>
    <row r="133" spans="1:8" x14ac:dyDescent="0.3">
      <c r="A133">
        <v>1</v>
      </c>
      <c r="C133" t="s">
        <v>106</v>
      </c>
      <c r="D133" t="s">
        <v>101</v>
      </c>
      <c r="E133" s="1" t="s">
        <v>9</v>
      </c>
      <c r="F133" s="63" t="s">
        <v>108</v>
      </c>
      <c r="G133" t="s">
        <v>109</v>
      </c>
      <c r="H133">
        <v>4</v>
      </c>
    </row>
    <row r="134" spans="1:8" x14ac:dyDescent="0.3">
      <c r="A134">
        <v>5</v>
      </c>
      <c r="C134" t="s">
        <v>131</v>
      </c>
      <c r="D134" t="s">
        <v>128</v>
      </c>
      <c r="E134" s="1" t="s">
        <v>9</v>
      </c>
      <c r="F134" s="63" t="s">
        <v>108</v>
      </c>
      <c r="G134" t="s">
        <v>109</v>
      </c>
      <c r="H134">
        <v>5</v>
      </c>
    </row>
    <row r="135" spans="1:8" x14ac:dyDescent="0.3">
      <c r="A135">
        <v>5</v>
      </c>
      <c r="C135" t="s">
        <v>132</v>
      </c>
      <c r="D135" t="s">
        <v>128</v>
      </c>
      <c r="E135" s="1" t="s">
        <v>9</v>
      </c>
      <c r="F135" s="63" t="s">
        <v>108</v>
      </c>
      <c r="G135" t="s">
        <v>109</v>
      </c>
      <c r="H135">
        <v>1</v>
      </c>
    </row>
    <row r="136" spans="1:8" x14ac:dyDescent="0.3">
      <c r="A136">
        <v>5</v>
      </c>
      <c r="C136" t="s">
        <v>134</v>
      </c>
      <c r="D136" t="s">
        <v>128</v>
      </c>
      <c r="E136" s="1" t="s">
        <v>9</v>
      </c>
      <c r="F136" s="63" t="s">
        <v>108</v>
      </c>
      <c r="G136" t="s">
        <v>109</v>
      </c>
      <c r="H136">
        <v>5</v>
      </c>
    </row>
    <row r="137" spans="1:8" x14ac:dyDescent="0.3">
      <c r="A137">
        <v>5</v>
      </c>
      <c r="C137" t="s">
        <v>100</v>
      </c>
      <c r="D137" t="s">
        <v>101</v>
      </c>
      <c r="E137" s="1" t="s">
        <v>9</v>
      </c>
      <c r="F137" s="63" t="s">
        <v>108</v>
      </c>
      <c r="G137" t="s">
        <v>109</v>
      </c>
      <c r="H137">
        <v>4</v>
      </c>
    </row>
    <row r="138" spans="1:8" x14ac:dyDescent="0.3">
      <c r="A138">
        <v>5</v>
      </c>
      <c r="C138" t="s">
        <v>106</v>
      </c>
      <c r="D138" t="s">
        <v>101</v>
      </c>
      <c r="E138" s="1" t="s">
        <v>9</v>
      </c>
      <c r="F138" s="63" t="s">
        <v>108</v>
      </c>
      <c r="G138" t="s">
        <v>109</v>
      </c>
      <c r="H138">
        <v>4</v>
      </c>
    </row>
    <row r="139" spans="1:8" x14ac:dyDescent="0.3">
      <c r="A139">
        <v>5</v>
      </c>
      <c r="C139" t="s">
        <v>118</v>
      </c>
      <c r="D139" t="s">
        <v>101</v>
      </c>
      <c r="E139" s="1" t="s">
        <v>9</v>
      </c>
      <c r="F139" s="63" t="s">
        <v>108</v>
      </c>
      <c r="G139" t="s">
        <v>109</v>
      </c>
      <c r="H139">
        <v>6</v>
      </c>
    </row>
    <row r="140" spans="1:8" x14ac:dyDescent="0.3">
      <c r="A140">
        <v>3</v>
      </c>
      <c r="C140" t="s">
        <v>132</v>
      </c>
      <c r="D140" t="s">
        <v>128</v>
      </c>
      <c r="E140"/>
      <c r="F140" s="3" t="s">
        <v>143</v>
      </c>
      <c r="G140" t="s">
        <v>144</v>
      </c>
      <c r="H140">
        <v>6</v>
      </c>
    </row>
    <row r="141" spans="1:8" x14ac:dyDescent="0.3">
      <c r="A141">
        <v>4</v>
      </c>
      <c r="B141">
        <v>1</v>
      </c>
      <c r="C141" t="s">
        <v>100</v>
      </c>
      <c r="D141" t="s">
        <v>101</v>
      </c>
      <c r="E141" s="1" t="s">
        <v>13</v>
      </c>
      <c r="F141" s="3" t="s">
        <v>143</v>
      </c>
      <c r="G141" t="s">
        <v>144</v>
      </c>
      <c r="H141">
        <v>4</v>
      </c>
    </row>
    <row r="142" spans="1:8" x14ac:dyDescent="0.3">
      <c r="A142">
        <v>4</v>
      </c>
      <c r="B142">
        <v>2</v>
      </c>
      <c r="C142" t="s">
        <v>106</v>
      </c>
      <c r="D142" t="s">
        <v>101</v>
      </c>
      <c r="E142" s="1" t="s">
        <v>147</v>
      </c>
      <c r="F142" s="3" t="s">
        <v>143</v>
      </c>
      <c r="G142" t="s">
        <v>144</v>
      </c>
      <c r="H142">
        <v>3</v>
      </c>
    </row>
    <row r="143" spans="1:8" x14ac:dyDescent="0.3">
      <c r="A143">
        <v>4</v>
      </c>
      <c r="B143">
        <v>3</v>
      </c>
      <c r="C143" t="s">
        <v>113</v>
      </c>
      <c r="D143" t="s">
        <v>101</v>
      </c>
      <c r="E143" s="1" t="s">
        <v>147</v>
      </c>
      <c r="F143" s="3" t="s">
        <v>143</v>
      </c>
      <c r="G143" t="s">
        <v>144</v>
      </c>
      <c r="H143">
        <v>2</v>
      </c>
    </row>
    <row r="144" spans="1:8" x14ac:dyDescent="0.3">
      <c r="A144">
        <v>4</v>
      </c>
      <c r="B144">
        <v>4</v>
      </c>
      <c r="C144" t="s">
        <v>118</v>
      </c>
      <c r="D144" t="s">
        <v>101</v>
      </c>
      <c r="E144" s="1" t="s">
        <v>147</v>
      </c>
      <c r="F144" s="3" t="s">
        <v>143</v>
      </c>
      <c r="G144" t="s">
        <v>144</v>
      </c>
      <c r="H144">
        <v>4</v>
      </c>
    </row>
    <row r="145" spans="1:8" x14ac:dyDescent="0.3">
      <c r="A145">
        <v>4</v>
      </c>
      <c r="B145">
        <v>5</v>
      </c>
      <c r="C145" t="s">
        <v>141</v>
      </c>
      <c r="D145" t="s">
        <v>101</v>
      </c>
      <c r="E145" s="1" t="s">
        <v>147</v>
      </c>
      <c r="F145" s="3" t="s">
        <v>143</v>
      </c>
      <c r="G145" t="s">
        <v>144</v>
      </c>
      <c r="H145">
        <v>1</v>
      </c>
    </row>
    <row r="146" spans="1:8" x14ac:dyDescent="0.3">
      <c r="A146">
        <v>4</v>
      </c>
      <c r="B146">
        <v>1</v>
      </c>
      <c r="C146" t="s">
        <v>127</v>
      </c>
      <c r="D146" t="s">
        <v>128</v>
      </c>
      <c r="E146" s="1" t="s">
        <v>147</v>
      </c>
      <c r="F146" s="3" t="s">
        <v>143</v>
      </c>
      <c r="G146" t="s">
        <v>144</v>
      </c>
      <c r="H146">
        <v>3</v>
      </c>
    </row>
    <row r="147" spans="1:8" x14ac:dyDescent="0.3">
      <c r="A147">
        <v>4</v>
      </c>
      <c r="B147">
        <v>2</v>
      </c>
      <c r="C147" t="s">
        <v>131</v>
      </c>
      <c r="D147" t="s">
        <v>128</v>
      </c>
      <c r="E147" s="1" t="s">
        <v>147</v>
      </c>
      <c r="F147" s="3" t="s">
        <v>143</v>
      </c>
      <c r="G147" t="s">
        <v>144</v>
      </c>
      <c r="H147">
        <v>1</v>
      </c>
    </row>
    <row r="148" spans="1:8" x14ac:dyDescent="0.3">
      <c r="A148">
        <v>4</v>
      </c>
      <c r="B148">
        <v>3</v>
      </c>
      <c r="C148" t="s">
        <v>132</v>
      </c>
      <c r="D148" t="s">
        <v>128</v>
      </c>
      <c r="E148" s="1" t="s">
        <v>147</v>
      </c>
      <c r="F148" s="3" t="s">
        <v>143</v>
      </c>
      <c r="G148" t="s">
        <v>144</v>
      </c>
      <c r="H148">
        <v>2</v>
      </c>
    </row>
    <row r="149" spans="1:8" x14ac:dyDescent="0.3">
      <c r="A149">
        <v>4</v>
      </c>
      <c r="B149">
        <v>4</v>
      </c>
      <c r="C149" t="s">
        <v>134</v>
      </c>
      <c r="D149" t="s">
        <v>128</v>
      </c>
      <c r="E149" s="1" t="s">
        <v>147</v>
      </c>
      <c r="F149" s="3" t="s">
        <v>143</v>
      </c>
      <c r="G149" t="s">
        <v>144</v>
      </c>
      <c r="H149">
        <v>3</v>
      </c>
    </row>
    <row r="150" spans="1:8" x14ac:dyDescent="0.3">
      <c r="A150">
        <v>4</v>
      </c>
      <c r="B150">
        <v>5</v>
      </c>
      <c r="C150" t="s">
        <v>135</v>
      </c>
      <c r="D150" t="s">
        <v>128</v>
      </c>
      <c r="E150" s="1" t="s">
        <v>147</v>
      </c>
      <c r="F150" s="3" t="s">
        <v>143</v>
      </c>
      <c r="G150" t="s">
        <v>144</v>
      </c>
      <c r="H150">
        <v>1</v>
      </c>
    </row>
    <row r="151" spans="1:8" x14ac:dyDescent="0.3">
      <c r="A151">
        <v>1</v>
      </c>
      <c r="B151">
        <v>1</v>
      </c>
      <c r="C151" t="s">
        <v>100</v>
      </c>
      <c r="D151" t="s">
        <v>101</v>
      </c>
      <c r="E151" s="1" t="s">
        <v>13</v>
      </c>
      <c r="F151" s="3" t="s">
        <v>143</v>
      </c>
      <c r="G151" t="s">
        <v>144</v>
      </c>
      <c r="H151">
        <v>5</v>
      </c>
    </row>
    <row r="152" spans="1:8" x14ac:dyDescent="0.3">
      <c r="A152">
        <v>1</v>
      </c>
      <c r="B152">
        <v>1</v>
      </c>
      <c r="C152" t="s">
        <v>106</v>
      </c>
      <c r="D152" t="s">
        <v>101</v>
      </c>
      <c r="E152" s="1" t="s">
        <v>13</v>
      </c>
      <c r="F152" s="3" t="s">
        <v>143</v>
      </c>
      <c r="G152" t="s">
        <v>144</v>
      </c>
      <c r="H152">
        <v>4</v>
      </c>
    </row>
    <row r="153" spans="1:8" x14ac:dyDescent="0.3">
      <c r="A153">
        <v>1</v>
      </c>
      <c r="C153" t="s">
        <v>113</v>
      </c>
      <c r="D153" t="s">
        <v>101</v>
      </c>
      <c r="E153" s="1" t="s">
        <v>13</v>
      </c>
      <c r="F153" s="3" t="s">
        <v>143</v>
      </c>
      <c r="G153" t="s">
        <v>144</v>
      </c>
      <c r="H153">
        <v>2</v>
      </c>
    </row>
    <row r="154" spans="1:8" x14ac:dyDescent="0.3">
      <c r="A154">
        <v>1</v>
      </c>
      <c r="C154" t="s">
        <v>118</v>
      </c>
      <c r="D154" t="s">
        <v>101</v>
      </c>
      <c r="E154" s="1" t="s">
        <v>13</v>
      </c>
      <c r="F154" s="3" t="s">
        <v>143</v>
      </c>
      <c r="G154" t="s">
        <v>144</v>
      </c>
      <c r="H154">
        <v>1</v>
      </c>
    </row>
    <row r="155" spans="1:8" x14ac:dyDescent="0.3">
      <c r="A155">
        <v>1</v>
      </c>
      <c r="C155" t="s">
        <v>141</v>
      </c>
      <c r="D155" t="s">
        <v>101</v>
      </c>
      <c r="E155" s="1" t="s">
        <v>13</v>
      </c>
      <c r="F155" s="3" t="s">
        <v>143</v>
      </c>
      <c r="G155" t="s">
        <v>144</v>
      </c>
      <c r="H155">
        <v>2</v>
      </c>
    </row>
    <row r="156" spans="1:8" x14ac:dyDescent="0.3">
      <c r="A156">
        <v>1</v>
      </c>
      <c r="C156" t="s">
        <v>131</v>
      </c>
      <c r="D156" t="s">
        <v>128</v>
      </c>
      <c r="E156" s="1" t="s">
        <v>13</v>
      </c>
      <c r="F156" s="3" t="s">
        <v>143</v>
      </c>
      <c r="G156" t="s">
        <v>144</v>
      </c>
      <c r="H156">
        <v>5</v>
      </c>
    </row>
    <row r="157" spans="1:8" x14ac:dyDescent="0.3">
      <c r="A157">
        <v>1</v>
      </c>
      <c r="C157" t="s">
        <v>132</v>
      </c>
      <c r="D157" t="s">
        <v>128</v>
      </c>
      <c r="E157" s="1" t="s">
        <v>13</v>
      </c>
      <c r="F157" s="3" t="s">
        <v>143</v>
      </c>
      <c r="G157" t="s">
        <v>144</v>
      </c>
      <c r="H157">
        <v>4</v>
      </c>
    </row>
    <row r="158" spans="1:8" x14ac:dyDescent="0.3">
      <c r="A158">
        <v>1</v>
      </c>
      <c r="C158" t="s">
        <v>134</v>
      </c>
      <c r="D158" t="s">
        <v>128</v>
      </c>
      <c r="E158" s="1" t="s">
        <v>13</v>
      </c>
      <c r="F158" s="3" t="s">
        <v>143</v>
      </c>
      <c r="G158" t="s">
        <v>144</v>
      </c>
      <c r="H158">
        <v>2</v>
      </c>
    </row>
    <row r="159" spans="1:8" x14ac:dyDescent="0.3">
      <c r="A159">
        <v>1</v>
      </c>
      <c r="C159" t="s">
        <v>135</v>
      </c>
      <c r="D159" t="s">
        <v>128</v>
      </c>
      <c r="E159" s="1" t="s">
        <v>13</v>
      </c>
      <c r="F159" s="3" t="s">
        <v>143</v>
      </c>
      <c r="G159" t="s">
        <v>144</v>
      </c>
      <c r="H159">
        <v>2</v>
      </c>
    </row>
    <row r="160" spans="1:8" x14ac:dyDescent="0.3">
      <c r="A160">
        <v>6</v>
      </c>
      <c r="B160">
        <v>3</v>
      </c>
      <c r="C160" t="s">
        <v>113</v>
      </c>
      <c r="D160" t="s">
        <v>101</v>
      </c>
      <c r="E160" s="1" t="s">
        <v>13</v>
      </c>
      <c r="F160" s="3" t="s">
        <v>114</v>
      </c>
      <c r="G160" t="s">
        <v>115</v>
      </c>
      <c r="H160">
        <v>8</v>
      </c>
    </row>
    <row r="161" spans="1:8" x14ac:dyDescent="0.3">
      <c r="A161">
        <v>6</v>
      </c>
      <c r="B161">
        <v>4</v>
      </c>
      <c r="C161" t="s">
        <v>118</v>
      </c>
      <c r="D161" t="s">
        <v>101</v>
      </c>
      <c r="E161" s="1" t="s">
        <v>13</v>
      </c>
      <c r="F161" s="3" t="s">
        <v>114</v>
      </c>
      <c r="G161" t="s">
        <v>115</v>
      </c>
      <c r="H161">
        <v>8</v>
      </c>
    </row>
    <row r="162" spans="1:8" x14ac:dyDescent="0.3">
      <c r="A162">
        <v>6</v>
      </c>
      <c r="B162">
        <v>1</v>
      </c>
      <c r="C162" t="s">
        <v>127</v>
      </c>
      <c r="D162" t="s">
        <v>128</v>
      </c>
      <c r="E162" s="1" t="s">
        <v>13</v>
      </c>
      <c r="F162" s="3" t="s">
        <v>114</v>
      </c>
      <c r="G162" t="s">
        <v>115</v>
      </c>
      <c r="H162">
        <v>1</v>
      </c>
    </row>
    <row r="163" spans="1:8" x14ac:dyDescent="0.3">
      <c r="A163">
        <v>6</v>
      </c>
      <c r="B163">
        <v>2</v>
      </c>
      <c r="C163" t="s">
        <v>131</v>
      </c>
      <c r="D163" t="s">
        <v>128</v>
      </c>
      <c r="E163" s="1" t="s">
        <v>13</v>
      </c>
      <c r="F163" s="3" t="s">
        <v>114</v>
      </c>
      <c r="G163" t="s">
        <v>115</v>
      </c>
      <c r="H163">
        <v>3</v>
      </c>
    </row>
    <row r="164" spans="1:8" x14ac:dyDescent="0.3">
      <c r="A164">
        <v>6</v>
      </c>
      <c r="B164">
        <v>3</v>
      </c>
      <c r="C164" t="s">
        <v>132</v>
      </c>
      <c r="D164" t="s">
        <v>128</v>
      </c>
      <c r="E164" s="1" t="s">
        <v>13</v>
      </c>
      <c r="F164" s="3" t="s">
        <v>114</v>
      </c>
      <c r="G164" t="s">
        <v>115</v>
      </c>
      <c r="H164">
        <v>2</v>
      </c>
    </row>
    <row r="165" spans="1:8" x14ac:dyDescent="0.3">
      <c r="A165">
        <v>6</v>
      </c>
      <c r="B165">
        <v>4</v>
      </c>
      <c r="C165" t="s">
        <v>134</v>
      </c>
      <c r="D165" t="s">
        <v>128</v>
      </c>
      <c r="E165" s="1" t="s">
        <v>13</v>
      </c>
      <c r="F165" s="3" t="s">
        <v>114</v>
      </c>
      <c r="G165" t="s">
        <v>115</v>
      </c>
      <c r="H165">
        <v>5</v>
      </c>
    </row>
    <row r="166" spans="1:8" x14ac:dyDescent="0.3">
      <c r="A166">
        <v>6</v>
      </c>
      <c r="B166">
        <v>5</v>
      </c>
      <c r="C166" t="s">
        <v>135</v>
      </c>
      <c r="D166" t="s">
        <v>128</v>
      </c>
      <c r="E166" s="1" t="s">
        <v>13</v>
      </c>
      <c r="F166" s="3" t="s">
        <v>114</v>
      </c>
      <c r="G166" t="s">
        <v>115</v>
      </c>
      <c r="H166">
        <v>8</v>
      </c>
    </row>
    <row r="167" spans="1:8" x14ac:dyDescent="0.3">
      <c r="A167">
        <v>3</v>
      </c>
      <c r="C167" t="s">
        <v>113</v>
      </c>
      <c r="D167" t="s">
        <v>101</v>
      </c>
      <c r="E167"/>
      <c r="F167" s="3" t="s">
        <v>114</v>
      </c>
      <c r="G167" t="s">
        <v>115</v>
      </c>
      <c r="H167">
        <v>5</v>
      </c>
    </row>
    <row r="168" spans="1:8" x14ac:dyDescent="0.3">
      <c r="A168">
        <v>3</v>
      </c>
      <c r="C168" t="s">
        <v>118</v>
      </c>
      <c r="D168" t="s">
        <v>101</v>
      </c>
      <c r="E168"/>
      <c r="F168" s="3" t="s">
        <v>114</v>
      </c>
      <c r="G168" t="s">
        <v>115</v>
      </c>
      <c r="H168">
        <v>7</v>
      </c>
    </row>
    <row r="169" spans="1:8" x14ac:dyDescent="0.3">
      <c r="A169">
        <v>3</v>
      </c>
      <c r="C169" t="s">
        <v>141</v>
      </c>
      <c r="D169" t="s">
        <v>101</v>
      </c>
      <c r="E169"/>
      <c r="F169" s="3" t="s">
        <v>114</v>
      </c>
      <c r="G169" t="s">
        <v>115</v>
      </c>
      <c r="H169">
        <v>8</v>
      </c>
    </row>
    <row r="170" spans="1:8" x14ac:dyDescent="0.3">
      <c r="A170">
        <v>3</v>
      </c>
      <c r="C170" t="s">
        <v>127</v>
      </c>
      <c r="D170" t="s">
        <v>128</v>
      </c>
      <c r="E170"/>
      <c r="F170" s="3" t="s">
        <v>114</v>
      </c>
      <c r="G170" t="s">
        <v>115</v>
      </c>
      <c r="H170">
        <v>9</v>
      </c>
    </row>
    <row r="171" spans="1:8" x14ac:dyDescent="0.3">
      <c r="A171">
        <v>3</v>
      </c>
      <c r="C171" t="s">
        <v>131</v>
      </c>
      <c r="D171" t="s">
        <v>128</v>
      </c>
      <c r="E171"/>
      <c r="F171" s="3" t="s">
        <v>114</v>
      </c>
      <c r="G171" t="s">
        <v>115</v>
      </c>
      <c r="H171">
        <v>7</v>
      </c>
    </row>
    <row r="172" spans="1:8" x14ac:dyDescent="0.3">
      <c r="A172">
        <v>3</v>
      </c>
      <c r="C172" t="s">
        <v>132</v>
      </c>
      <c r="D172" t="s">
        <v>128</v>
      </c>
      <c r="E172"/>
      <c r="F172" s="3" t="s">
        <v>114</v>
      </c>
      <c r="G172" t="s">
        <v>115</v>
      </c>
      <c r="H172">
        <v>8</v>
      </c>
    </row>
    <row r="173" spans="1:8" x14ac:dyDescent="0.3">
      <c r="A173">
        <v>3</v>
      </c>
      <c r="C173" t="s">
        <v>134</v>
      </c>
      <c r="D173" t="s">
        <v>128</v>
      </c>
      <c r="E173"/>
      <c r="F173" s="3" t="s">
        <v>114</v>
      </c>
      <c r="G173" t="s">
        <v>115</v>
      </c>
      <c r="H173">
        <v>8</v>
      </c>
    </row>
    <row r="174" spans="1:8" x14ac:dyDescent="0.3">
      <c r="A174">
        <v>3</v>
      </c>
      <c r="C174" t="s">
        <v>135</v>
      </c>
      <c r="D174" t="s">
        <v>128</v>
      </c>
      <c r="E174"/>
      <c r="F174" s="3" t="s">
        <v>114</v>
      </c>
      <c r="G174" t="s">
        <v>115</v>
      </c>
      <c r="H174">
        <v>9</v>
      </c>
    </row>
    <row r="175" spans="1:8" x14ac:dyDescent="0.3">
      <c r="A175">
        <v>2</v>
      </c>
      <c r="B175">
        <v>2</v>
      </c>
      <c r="C175" t="s">
        <v>106</v>
      </c>
      <c r="D175" t="s">
        <v>101</v>
      </c>
      <c r="E175" s="1" t="s">
        <v>13</v>
      </c>
      <c r="F175" s="3" t="s">
        <v>114</v>
      </c>
      <c r="G175" t="s">
        <v>115</v>
      </c>
      <c r="H175">
        <v>10</v>
      </c>
    </row>
    <row r="176" spans="1:8" x14ac:dyDescent="0.3">
      <c r="A176">
        <v>2</v>
      </c>
      <c r="B176">
        <v>3</v>
      </c>
      <c r="C176" t="s">
        <v>113</v>
      </c>
      <c r="D176" t="s">
        <v>101</v>
      </c>
      <c r="E176" s="1" t="s">
        <v>13</v>
      </c>
      <c r="F176" s="3" t="s">
        <v>114</v>
      </c>
      <c r="G176" t="s">
        <v>115</v>
      </c>
      <c r="H176">
        <v>9</v>
      </c>
    </row>
    <row r="177" spans="1:8" x14ac:dyDescent="0.3">
      <c r="A177">
        <v>2</v>
      </c>
      <c r="B177">
        <v>4</v>
      </c>
      <c r="C177" t="s">
        <v>118</v>
      </c>
      <c r="D177" t="s">
        <v>101</v>
      </c>
      <c r="E177" s="1" t="s">
        <v>13</v>
      </c>
      <c r="F177" s="3" t="s">
        <v>114</v>
      </c>
      <c r="G177" t="s">
        <v>115</v>
      </c>
      <c r="H177">
        <v>5</v>
      </c>
    </row>
    <row r="178" spans="1:8" x14ac:dyDescent="0.3">
      <c r="A178">
        <v>2</v>
      </c>
      <c r="B178">
        <v>5</v>
      </c>
      <c r="C178" t="s">
        <v>141</v>
      </c>
      <c r="D178" t="s">
        <v>101</v>
      </c>
      <c r="E178" s="1" t="s">
        <v>13</v>
      </c>
      <c r="F178" s="3" t="s">
        <v>114</v>
      </c>
      <c r="G178" t="s">
        <v>115</v>
      </c>
      <c r="H178">
        <v>8</v>
      </c>
    </row>
    <row r="179" spans="1:8" x14ac:dyDescent="0.3">
      <c r="A179">
        <v>2</v>
      </c>
      <c r="B179">
        <v>7</v>
      </c>
      <c r="C179" t="s">
        <v>131</v>
      </c>
      <c r="D179" t="s">
        <v>128</v>
      </c>
      <c r="E179" s="1" t="s">
        <v>13</v>
      </c>
      <c r="F179" s="3" t="s">
        <v>114</v>
      </c>
      <c r="G179" t="s">
        <v>115</v>
      </c>
      <c r="H179">
        <v>6</v>
      </c>
    </row>
    <row r="180" spans="1:8" x14ac:dyDescent="0.3">
      <c r="A180">
        <v>2</v>
      </c>
      <c r="B180">
        <v>8</v>
      </c>
      <c r="C180" t="s">
        <v>132</v>
      </c>
      <c r="D180" t="s">
        <v>128</v>
      </c>
      <c r="E180" s="1" t="s">
        <v>13</v>
      </c>
      <c r="F180" s="3" t="s">
        <v>114</v>
      </c>
      <c r="G180" t="s">
        <v>115</v>
      </c>
      <c r="H180">
        <v>4</v>
      </c>
    </row>
    <row r="181" spans="1:8" x14ac:dyDescent="0.3">
      <c r="A181">
        <v>2</v>
      </c>
      <c r="B181">
        <v>9</v>
      </c>
      <c r="C181" t="s">
        <v>134</v>
      </c>
      <c r="D181" t="s">
        <v>128</v>
      </c>
      <c r="E181" s="1" t="s">
        <v>13</v>
      </c>
      <c r="F181" s="3" t="s">
        <v>114</v>
      </c>
      <c r="G181" t="s">
        <v>115</v>
      </c>
      <c r="H181">
        <v>5</v>
      </c>
    </row>
    <row r="182" spans="1:8" x14ac:dyDescent="0.3">
      <c r="A182">
        <v>4</v>
      </c>
      <c r="B182">
        <v>1</v>
      </c>
      <c r="C182" t="s">
        <v>100</v>
      </c>
      <c r="D182" t="s">
        <v>101</v>
      </c>
      <c r="E182" s="1" t="s">
        <v>147</v>
      </c>
      <c r="F182" s="3" t="s">
        <v>114</v>
      </c>
      <c r="G182" t="s">
        <v>148</v>
      </c>
      <c r="H182">
        <v>9</v>
      </c>
    </row>
    <row r="183" spans="1:8" x14ac:dyDescent="0.3">
      <c r="A183">
        <v>4</v>
      </c>
      <c r="B183">
        <v>2</v>
      </c>
      <c r="C183" t="s">
        <v>106</v>
      </c>
      <c r="D183" t="s">
        <v>101</v>
      </c>
      <c r="E183" s="1" t="s">
        <v>147</v>
      </c>
      <c r="F183" s="3" t="s">
        <v>114</v>
      </c>
      <c r="G183" t="s">
        <v>148</v>
      </c>
      <c r="H183">
        <v>9</v>
      </c>
    </row>
    <row r="184" spans="1:8" x14ac:dyDescent="0.3">
      <c r="A184">
        <v>4</v>
      </c>
      <c r="B184">
        <v>3</v>
      </c>
      <c r="C184" t="s">
        <v>113</v>
      </c>
      <c r="D184" t="s">
        <v>101</v>
      </c>
      <c r="E184" s="1" t="s">
        <v>147</v>
      </c>
      <c r="F184" s="3" t="s">
        <v>114</v>
      </c>
      <c r="G184" t="s">
        <v>148</v>
      </c>
      <c r="H184">
        <v>6</v>
      </c>
    </row>
    <row r="185" spans="1:8" x14ac:dyDescent="0.3">
      <c r="A185">
        <v>4</v>
      </c>
      <c r="B185">
        <v>4</v>
      </c>
      <c r="C185" t="s">
        <v>118</v>
      </c>
      <c r="D185" t="s">
        <v>101</v>
      </c>
      <c r="E185" s="1" t="s">
        <v>147</v>
      </c>
      <c r="F185" s="3" t="s">
        <v>114</v>
      </c>
      <c r="G185" t="s">
        <v>148</v>
      </c>
      <c r="H185">
        <v>7</v>
      </c>
    </row>
    <row r="186" spans="1:8" x14ac:dyDescent="0.3">
      <c r="A186">
        <v>4</v>
      </c>
      <c r="B186">
        <v>5</v>
      </c>
      <c r="C186" t="s">
        <v>141</v>
      </c>
      <c r="D186" t="s">
        <v>101</v>
      </c>
      <c r="E186" s="1" t="s">
        <v>147</v>
      </c>
      <c r="F186" s="3" t="s">
        <v>114</v>
      </c>
      <c r="G186" t="s">
        <v>148</v>
      </c>
      <c r="H186">
        <v>5</v>
      </c>
    </row>
    <row r="187" spans="1:8" x14ac:dyDescent="0.3">
      <c r="A187">
        <v>4</v>
      </c>
      <c r="B187">
        <v>1</v>
      </c>
      <c r="C187" t="s">
        <v>127</v>
      </c>
      <c r="D187" t="s">
        <v>128</v>
      </c>
      <c r="E187" s="1" t="s">
        <v>147</v>
      </c>
      <c r="F187" s="3" t="s">
        <v>114</v>
      </c>
      <c r="G187" t="s">
        <v>148</v>
      </c>
      <c r="H187">
        <v>7</v>
      </c>
    </row>
    <row r="188" spans="1:8" x14ac:dyDescent="0.3">
      <c r="A188">
        <v>4</v>
      </c>
      <c r="B188">
        <v>2</v>
      </c>
      <c r="C188" t="s">
        <v>131</v>
      </c>
      <c r="D188" t="s">
        <v>128</v>
      </c>
      <c r="E188" s="1" t="s">
        <v>147</v>
      </c>
      <c r="F188" s="3" t="s">
        <v>114</v>
      </c>
      <c r="G188" t="s">
        <v>148</v>
      </c>
      <c r="H188">
        <v>4</v>
      </c>
    </row>
    <row r="189" spans="1:8" x14ac:dyDescent="0.3">
      <c r="A189">
        <v>4</v>
      </c>
      <c r="B189">
        <v>3</v>
      </c>
      <c r="C189" t="s">
        <v>132</v>
      </c>
      <c r="D189" t="s">
        <v>128</v>
      </c>
      <c r="E189" s="1" t="s">
        <v>147</v>
      </c>
      <c r="F189" s="3" t="s">
        <v>114</v>
      </c>
      <c r="G189" t="s">
        <v>148</v>
      </c>
      <c r="H189">
        <v>7</v>
      </c>
    </row>
    <row r="190" spans="1:8" x14ac:dyDescent="0.3">
      <c r="A190">
        <v>4</v>
      </c>
      <c r="B190">
        <v>4</v>
      </c>
      <c r="C190" t="s">
        <v>134</v>
      </c>
      <c r="D190" t="s">
        <v>128</v>
      </c>
      <c r="E190" s="1" t="s">
        <v>147</v>
      </c>
      <c r="F190" s="3" t="s">
        <v>114</v>
      </c>
      <c r="G190" t="s">
        <v>148</v>
      </c>
      <c r="H190">
        <v>7</v>
      </c>
    </row>
    <row r="191" spans="1:8" x14ac:dyDescent="0.3">
      <c r="A191">
        <v>4</v>
      </c>
      <c r="B191">
        <v>5</v>
      </c>
      <c r="C191" t="s">
        <v>135</v>
      </c>
      <c r="D191" t="s">
        <v>128</v>
      </c>
      <c r="E191" s="1" t="s">
        <v>147</v>
      </c>
      <c r="F191" s="3" t="s">
        <v>114</v>
      </c>
      <c r="G191" t="s">
        <v>148</v>
      </c>
      <c r="H191">
        <v>6</v>
      </c>
    </row>
    <row r="192" spans="1:8" x14ac:dyDescent="0.3">
      <c r="A192">
        <v>1</v>
      </c>
      <c r="C192" t="s">
        <v>106</v>
      </c>
      <c r="D192" t="s">
        <v>101</v>
      </c>
      <c r="E192" s="1" t="s">
        <v>13</v>
      </c>
      <c r="F192" s="3" t="s">
        <v>114</v>
      </c>
      <c r="G192" t="s">
        <v>115</v>
      </c>
      <c r="H192">
        <v>3</v>
      </c>
    </row>
    <row r="193" spans="1:8" x14ac:dyDescent="0.3">
      <c r="A193">
        <v>1</v>
      </c>
      <c r="C193" t="s">
        <v>113</v>
      </c>
      <c r="D193" t="s">
        <v>101</v>
      </c>
      <c r="E193" s="1" t="s">
        <v>13</v>
      </c>
      <c r="F193" s="3" t="s">
        <v>114</v>
      </c>
      <c r="G193" t="s">
        <v>115</v>
      </c>
      <c r="H193">
        <v>4</v>
      </c>
    </row>
    <row r="194" spans="1:8" x14ac:dyDescent="0.3">
      <c r="A194">
        <v>1</v>
      </c>
      <c r="C194" t="s">
        <v>118</v>
      </c>
      <c r="D194" t="s">
        <v>101</v>
      </c>
      <c r="E194" s="1" t="s">
        <v>13</v>
      </c>
      <c r="F194" s="3" t="s">
        <v>114</v>
      </c>
      <c r="G194" t="s">
        <v>115</v>
      </c>
      <c r="H194">
        <v>4</v>
      </c>
    </row>
    <row r="195" spans="1:8" x14ac:dyDescent="0.3">
      <c r="A195">
        <v>1</v>
      </c>
      <c r="C195" t="s">
        <v>141</v>
      </c>
      <c r="D195" t="s">
        <v>101</v>
      </c>
      <c r="E195" s="1" t="s">
        <v>13</v>
      </c>
      <c r="F195" s="3" t="s">
        <v>114</v>
      </c>
      <c r="G195" t="s">
        <v>115</v>
      </c>
      <c r="H195">
        <v>2</v>
      </c>
    </row>
    <row r="196" spans="1:8" x14ac:dyDescent="0.3">
      <c r="A196">
        <v>1</v>
      </c>
      <c r="C196" t="s">
        <v>127</v>
      </c>
      <c r="D196" t="s">
        <v>128</v>
      </c>
      <c r="E196" s="1" t="s">
        <v>13</v>
      </c>
      <c r="F196" s="3" t="s">
        <v>114</v>
      </c>
      <c r="G196" t="s">
        <v>115</v>
      </c>
      <c r="H196">
        <v>4</v>
      </c>
    </row>
    <row r="197" spans="1:8" x14ac:dyDescent="0.3">
      <c r="A197">
        <v>1</v>
      </c>
      <c r="C197" t="s">
        <v>131</v>
      </c>
      <c r="D197" t="s">
        <v>128</v>
      </c>
      <c r="E197" s="1" t="s">
        <v>13</v>
      </c>
      <c r="F197" s="3" t="s">
        <v>114</v>
      </c>
      <c r="G197" t="s">
        <v>115</v>
      </c>
      <c r="H197">
        <v>4</v>
      </c>
    </row>
    <row r="198" spans="1:8" x14ac:dyDescent="0.3">
      <c r="A198">
        <v>1</v>
      </c>
      <c r="C198" t="s">
        <v>132</v>
      </c>
      <c r="D198" t="s">
        <v>128</v>
      </c>
      <c r="E198" s="1" t="s">
        <v>13</v>
      </c>
      <c r="F198" s="3" t="s">
        <v>114</v>
      </c>
      <c r="G198" t="s">
        <v>115</v>
      </c>
      <c r="H198">
        <v>5</v>
      </c>
    </row>
    <row r="199" spans="1:8" x14ac:dyDescent="0.3">
      <c r="A199">
        <v>1</v>
      </c>
      <c r="C199" t="s">
        <v>135</v>
      </c>
      <c r="D199" t="s">
        <v>128</v>
      </c>
      <c r="E199" s="1" t="s">
        <v>13</v>
      </c>
      <c r="F199" s="3" t="s">
        <v>114</v>
      </c>
      <c r="G199" t="s">
        <v>115</v>
      </c>
      <c r="H199">
        <v>6</v>
      </c>
    </row>
    <row r="200" spans="1:8" x14ac:dyDescent="0.3">
      <c r="A200">
        <v>5</v>
      </c>
      <c r="B200">
        <v>1</v>
      </c>
      <c r="C200" t="s">
        <v>127</v>
      </c>
      <c r="D200" t="s">
        <v>128</v>
      </c>
      <c r="E200" s="1" t="s">
        <v>13</v>
      </c>
      <c r="F200" s="3" t="s">
        <v>114</v>
      </c>
      <c r="G200" t="s">
        <v>115</v>
      </c>
      <c r="H200">
        <v>6</v>
      </c>
    </row>
    <row r="201" spans="1:8" x14ac:dyDescent="0.3">
      <c r="A201">
        <v>5</v>
      </c>
      <c r="C201" t="s">
        <v>131</v>
      </c>
      <c r="D201" t="s">
        <v>128</v>
      </c>
      <c r="E201" s="1" t="s">
        <v>13</v>
      </c>
      <c r="F201" s="3" t="s">
        <v>114</v>
      </c>
      <c r="G201" t="s">
        <v>115</v>
      </c>
      <c r="H201">
        <v>8</v>
      </c>
    </row>
    <row r="202" spans="1:8" x14ac:dyDescent="0.3">
      <c r="A202">
        <v>5</v>
      </c>
      <c r="C202" t="s">
        <v>132</v>
      </c>
      <c r="D202" t="s">
        <v>128</v>
      </c>
      <c r="E202" s="1" t="s">
        <v>13</v>
      </c>
      <c r="F202" s="3" t="s">
        <v>114</v>
      </c>
      <c r="G202" t="s">
        <v>115</v>
      </c>
      <c r="H202">
        <v>9</v>
      </c>
    </row>
    <row r="203" spans="1:8" x14ac:dyDescent="0.3">
      <c r="A203">
        <v>5</v>
      </c>
      <c r="C203" t="s">
        <v>134</v>
      </c>
      <c r="D203" t="s">
        <v>128</v>
      </c>
      <c r="E203" s="1" t="s">
        <v>13</v>
      </c>
      <c r="F203" s="3" t="s">
        <v>114</v>
      </c>
      <c r="G203" t="s">
        <v>115</v>
      </c>
      <c r="H203">
        <v>7</v>
      </c>
    </row>
    <row r="204" spans="1:8" x14ac:dyDescent="0.3">
      <c r="A204">
        <v>5</v>
      </c>
      <c r="C204" t="s">
        <v>135</v>
      </c>
      <c r="D204" t="s">
        <v>128</v>
      </c>
      <c r="E204" s="1" t="s">
        <v>13</v>
      </c>
      <c r="F204" s="3" t="s">
        <v>114</v>
      </c>
      <c r="G204" t="s">
        <v>115</v>
      </c>
      <c r="H204">
        <v>4</v>
      </c>
    </row>
    <row r="205" spans="1:8" x14ac:dyDescent="0.3">
      <c r="A205">
        <v>5</v>
      </c>
      <c r="C205" t="s">
        <v>106</v>
      </c>
      <c r="D205" t="s">
        <v>101</v>
      </c>
      <c r="E205" s="1" t="s">
        <v>13</v>
      </c>
      <c r="F205" s="3" t="s">
        <v>114</v>
      </c>
      <c r="G205" t="s">
        <v>115</v>
      </c>
      <c r="H205">
        <v>10</v>
      </c>
    </row>
    <row r="206" spans="1:8" x14ac:dyDescent="0.3">
      <c r="A206">
        <v>5</v>
      </c>
      <c r="C206" t="s">
        <v>113</v>
      </c>
      <c r="D206" t="s">
        <v>101</v>
      </c>
      <c r="E206" s="1" t="s">
        <v>13</v>
      </c>
      <c r="F206" s="3" t="s">
        <v>114</v>
      </c>
      <c r="G206" t="s">
        <v>115</v>
      </c>
      <c r="H206">
        <v>4</v>
      </c>
    </row>
    <row r="207" spans="1:8" x14ac:dyDescent="0.3">
      <c r="A207">
        <v>5</v>
      </c>
      <c r="C207" t="s">
        <v>118</v>
      </c>
      <c r="D207" t="s">
        <v>101</v>
      </c>
      <c r="E207" s="1" t="s">
        <v>13</v>
      </c>
      <c r="F207" s="3" t="s">
        <v>114</v>
      </c>
      <c r="G207" t="s">
        <v>115</v>
      </c>
      <c r="H207">
        <v>8</v>
      </c>
    </row>
    <row r="208" spans="1:8" x14ac:dyDescent="0.3">
      <c r="A208">
        <v>5</v>
      </c>
      <c r="C208" t="s">
        <v>141</v>
      </c>
      <c r="D208" t="s">
        <v>101</v>
      </c>
      <c r="E208" s="1" t="s">
        <v>13</v>
      </c>
      <c r="F208" s="3" t="s">
        <v>114</v>
      </c>
      <c r="G208" t="s">
        <v>115</v>
      </c>
      <c r="H208">
        <v>8</v>
      </c>
    </row>
    <row r="209" spans="1:8" x14ac:dyDescent="0.3">
      <c r="A209">
        <v>6</v>
      </c>
      <c r="B209">
        <v>1</v>
      </c>
      <c r="C209" t="s">
        <v>127</v>
      </c>
      <c r="D209" t="s">
        <v>128</v>
      </c>
      <c r="E209" s="1" t="s">
        <v>28</v>
      </c>
      <c r="F209" s="63" t="s">
        <v>46</v>
      </c>
      <c r="H209">
        <v>2</v>
      </c>
    </row>
    <row r="210" spans="1:8" x14ac:dyDescent="0.3">
      <c r="A210">
        <v>6</v>
      </c>
      <c r="B210">
        <v>5</v>
      </c>
      <c r="C210" t="s">
        <v>135</v>
      </c>
      <c r="D210" t="s">
        <v>128</v>
      </c>
      <c r="E210" s="1" t="s">
        <v>13</v>
      </c>
      <c r="F210" s="63" t="s">
        <v>136</v>
      </c>
      <c r="G210" t="s">
        <v>137</v>
      </c>
      <c r="H210">
        <v>5</v>
      </c>
    </row>
    <row r="211" spans="1:8" x14ac:dyDescent="0.3">
      <c r="A211">
        <v>2</v>
      </c>
      <c r="B211">
        <v>6</v>
      </c>
      <c r="C211" t="s">
        <v>127</v>
      </c>
      <c r="D211" t="s">
        <v>128</v>
      </c>
      <c r="E211" s="1" t="s">
        <v>13</v>
      </c>
      <c r="F211" s="3" t="s">
        <v>136</v>
      </c>
      <c r="G211" t="s">
        <v>137</v>
      </c>
      <c r="H211">
        <v>3</v>
      </c>
    </row>
    <row r="212" spans="1:8" x14ac:dyDescent="0.3">
      <c r="A212">
        <v>2</v>
      </c>
      <c r="B212">
        <v>8</v>
      </c>
      <c r="C212" t="s">
        <v>132</v>
      </c>
      <c r="D212" t="s">
        <v>128</v>
      </c>
      <c r="E212" s="1" t="s">
        <v>13</v>
      </c>
      <c r="F212" s="3" t="s">
        <v>136</v>
      </c>
      <c r="G212" t="s">
        <v>137</v>
      </c>
      <c r="H212">
        <v>4</v>
      </c>
    </row>
    <row r="213" spans="1:8" x14ac:dyDescent="0.3">
      <c r="A213">
        <v>2</v>
      </c>
      <c r="B213">
        <v>10</v>
      </c>
      <c r="C213" t="s">
        <v>135</v>
      </c>
      <c r="D213" t="s">
        <v>128</v>
      </c>
      <c r="E213" s="1" t="s">
        <v>13</v>
      </c>
      <c r="F213" s="3" t="s">
        <v>136</v>
      </c>
      <c r="G213" t="s">
        <v>137</v>
      </c>
      <c r="H213">
        <v>4</v>
      </c>
    </row>
    <row r="214" spans="1:8" x14ac:dyDescent="0.3">
      <c r="A214">
        <v>1</v>
      </c>
      <c r="C214" t="s">
        <v>106</v>
      </c>
      <c r="D214" t="s">
        <v>101</v>
      </c>
      <c r="E214" s="1" t="s">
        <v>13</v>
      </c>
      <c r="F214" s="3" t="s">
        <v>136</v>
      </c>
      <c r="G214" t="s">
        <v>137</v>
      </c>
      <c r="H214">
        <v>3</v>
      </c>
    </row>
    <row r="215" spans="1:8" x14ac:dyDescent="0.3">
      <c r="A215">
        <v>1</v>
      </c>
      <c r="C215" t="s">
        <v>113</v>
      </c>
      <c r="D215" t="s">
        <v>101</v>
      </c>
      <c r="E215" s="1" t="s">
        <v>13</v>
      </c>
      <c r="F215" s="3" t="s">
        <v>136</v>
      </c>
      <c r="G215" t="s">
        <v>137</v>
      </c>
      <c r="H215">
        <v>1</v>
      </c>
    </row>
    <row r="216" spans="1:8" x14ac:dyDescent="0.3">
      <c r="A216">
        <v>1</v>
      </c>
      <c r="C216" t="s">
        <v>131</v>
      </c>
      <c r="D216" t="s">
        <v>128</v>
      </c>
      <c r="E216" s="1" t="s">
        <v>13</v>
      </c>
      <c r="F216" s="3" t="s">
        <v>136</v>
      </c>
      <c r="G216" t="s">
        <v>137</v>
      </c>
      <c r="H216">
        <v>3</v>
      </c>
    </row>
    <row r="217" spans="1:8" x14ac:dyDescent="0.3">
      <c r="A217">
        <v>1</v>
      </c>
      <c r="C217" t="s">
        <v>134</v>
      </c>
      <c r="D217" t="s">
        <v>128</v>
      </c>
      <c r="E217" s="1" t="s">
        <v>13</v>
      </c>
      <c r="F217" s="3" t="s">
        <v>136</v>
      </c>
      <c r="G217" t="s">
        <v>137</v>
      </c>
      <c r="H217">
        <v>3</v>
      </c>
    </row>
    <row r="218" spans="1:8" x14ac:dyDescent="0.3">
      <c r="A218">
        <v>6</v>
      </c>
      <c r="B218">
        <v>1</v>
      </c>
      <c r="C218" t="s">
        <v>100</v>
      </c>
      <c r="D218" t="s">
        <v>101</v>
      </c>
      <c r="E218" s="1" t="s">
        <v>9</v>
      </c>
      <c r="F218" s="3" t="s">
        <v>102</v>
      </c>
      <c r="G218" t="s">
        <v>103</v>
      </c>
      <c r="H218">
        <v>7</v>
      </c>
    </row>
    <row r="219" spans="1:8" x14ac:dyDescent="0.3">
      <c r="A219">
        <v>6</v>
      </c>
      <c r="B219">
        <v>3</v>
      </c>
      <c r="C219" t="s">
        <v>113</v>
      </c>
      <c r="D219" t="s">
        <v>101</v>
      </c>
      <c r="E219" s="1" t="s">
        <v>9</v>
      </c>
      <c r="F219" s="63" t="s">
        <v>102</v>
      </c>
      <c r="G219" t="s">
        <v>103</v>
      </c>
      <c r="H219">
        <v>4</v>
      </c>
    </row>
    <row r="220" spans="1:8" x14ac:dyDescent="0.3">
      <c r="A220">
        <v>6</v>
      </c>
      <c r="B220">
        <v>4</v>
      </c>
      <c r="C220" t="s">
        <v>118</v>
      </c>
      <c r="D220" t="s">
        <v>101</v>
      </c>
      <c r="E220" s="1" t="s">
        <v>9</v>
      </c>
      <c r="F220" s="63" t="s">
        <v>102</v>
      </c>
      <c r="G220" t="s">
        <v>103</v>
      </c>
      <c r="H220">
        <v>4</v>
      </c>
    </row>
    <row r="221" spans="1:8" x14ac:dyDescent="0.3">
      <c r="A221">
        <v>6</v>
      </c>
      <c r="B221">
        <v>5</v>
      </c>
      <c r="C221" t="s">
        <v>124</v>
      </c>
      <c r="D221" t="s">
        <v>101</v>
      </c>
      <c r="E221" s="1" t="s">
        <v>9</v>
      </c>
      <c r="F221" s="63" t="s">
        <v>102</v>
      </c>
      <c r="G221" t="s">
        <v>103</v>
      </c>
      <c r="H221">
        <v>5</v>
      </c>
    </row>
    <row r="222" spans="1:8" x14ac:dyDescent="0.3">
      <c r="A222">
        <v>6</v>
      </c>
      <c r="B222">
        <v>1</v>
      </c>
      <c r="C222" t="s">
        <v>127</v>
      </c>
      <c r="D222" t="s">
        <v>128</v>
      </c>
      <c r="E222" s="1" t="s">
        <v>9</v>
      </c>
      <c r="F222" s="63" t="s">
        <v>102</v>
      </c>
      <c r="G222" t="s">
        <v>103</v>
      </c>
      <c r="H222">
        <v>1</v>
      </c>
    </row>
    <row r="223" spans="1:8" x14ac:dyDescent="0.3">
      <c r="A223">
        <v>6</v>
      </c>
      <c r="B223">
        <v>2</v>
      </c>
      <c r="C223" t="s">
        <v>131</v>
      </c>
      <c r="D223" t="s">
        <v>128</v>
      </c>
      <c r="E223" s="1" t="s">
        <v>9</v>
      </c>
      <c r="F223" s="63" t="s">
        <v>102</v>
      </c>
      <c r="G223" t="s">
        <v>103</v>
      </c>
      <c r="H223">
        <v>6</v>
      </c>
    </row>
    <row r="224" spans="1:8" x14ac:dyDescent="0.3">
      <c r="A224">
        <v>6</v>
      </c>
      <c r="B224">
        <v>3</v>
      </c>
      <c r="C224" t="s">
        <v>132</v>
      </c>
      <c r="D224" t="s">
        <v>128</v>
      </c>
      <c r="E224" s="1" t="s">
        <v>9</v>
      </c>
      <c r="F224" s="63" t="s">
        <v>102</v>
      </c>
      <c r="G224" t="s">
        <v>103</v>
      </c>
      <c r="H224">
        <v>5</v>
      </c>
    </row>
    <row r="225" spans="1:8" x14ac:dyDescent="0.3">
      <c r="A225">
        <v>6</v>
      </c>
      <c r="B225">
        <v>5</v>
      </c>
      <c r="C225" t="s">
        <v>135</v>
      </c>
      <c r="D225" t="s">
        <v>128</v>
      </c>
      <c r="E225" s="1" t="s">
        <v>9</v>
      </c>
      <c r="F225" s="63" t="s">
        <v>102</v>
      </c>
      <c r="G225" t="s">
        <v>103</v>
      </c>
      <c r="H225">
        <v>4</v>
      </c>
    </row>
    <row r="226" spans="1:8" x14ac:dyDescent="0.3">
      <c r="A226">
        <v>3</v>
      </c>
      <c r="C226" t="s">
        <v>106</v>
      </c>
      <c r="D226" t="s">
        <v>101</v>
      </c>
      <c r="E226"/>
      <c r="F226" s="3" t="s">
        <v>102</v>
      </c>
      <c r="G226" t="s">
        <v>103</v>
      </c>
      <c r="H226">
        <v>5</v>
      </c>
    </row>
    <row r="227" spans="1:8" x14ac:dyDescent="0.3">
      <c r="A227">
        <v>3</v>
      </c>
      <c r="C227" t="s">
        <v>118</v>
      </c>
      <c r="D227" t="s">
        <v>101</v>
      </c>
      <c r="E227"/>
      <c r="F227" s="3" t="s">
        <v>102</v>
      </c>
      <c r="G227" t="s">
        <v>103</v>
      </c>
      <c r="H227">
        <v>8</v>
      </c>
    </row>
    <row r="228" spans="1:8" x14ac:dyDescent="0.3">
      <c r="A228">
        <v>3</v>
      </c>
      <c r="C228" t="s">
        <v>135</v>
      </c>
      <c r="D228" t="s">
        <v>128</v>
      </c>
      <c r="E228"/>
      <c r="F228" s="3" t="s">
        <v>102</v>
      </c>
      <c r="G228" t="s">
        <v>103</v>
      </c>
      <c r="H228">
        <v>4</v>
      </c>
    </row>
    <row r="229" spans="1:8" x14ac:dyDescent="0.3">
      <c r="A229">
        <v>2</v>
      </c>
      <c r="B229">
        <v>6</v>
      </c>
      <c r="C229" t="s">
        <v>127</v>
      </c>
      <c r="D229" t="s">
        <v>128</v>
      </c>
      <c r="E229" s="1" t="s">
        <v>9</v>
      </c>
      <c r="F229" s="3" t="s">
        <v>102</v>
      </c>
      <c r="G229" t="s">
        <v>103</v>
      </c>
      <c r="H229">
        <v>2</v>
      </c>
    </row>
    <row r="230" spans="1:8" x14ac:dyDescent="0.3">
      <c r="A230">
        <v>4</v>
      </c>
      <c r="B230">
        <v>2</v>
      </c>
      <c r="C230" t="s">
        <v>106</v>
      </c>
      <c r="D230" t="s">
        <v>101</v>
      </c>
      <c r="E230" s="1" t="s">
        <v>149</v>
      </c>
      <c r="F230" s="3" t="s">
        <v>102</v>
      </c>
      <c r="G230" t="s">
        <v>103</v>
      </c>
      <c r="H230">
        <v>4</v>
      </c>
    </row>
    <row r="231" spans="1:8" x14ac:dyDescent="0.3">
      <c r="A231">
        <v>4</v>
      </c>
      <c r="B231">
        <v>3</v>
      </c>
      <c r="C231" t="s">
        <v>132</v>
      </c>
      <c r="D231" t="s">
        <v>128</v>
      </c>
      <c r="E231" s="1" t="s">
        <v>149</v>
      </c>
      <c r="F231" s="3" t="s">
        <v>102</v>
      </c>
      <c r="G231" t="s">
        <v>103</v>
      </c>
      <c r="H231">
        <v>2</v>
      </c>
    </row>
    <row r="232" spans="1:8" x14ac:dyDescent="0.3">
      <c r="A232">
        <v>4</v>
      </c>
      <c r="B232">
        <v>4</v>
      </c>
      <c r="C232" t="s">
        <v>134</v>
      </c>
      <c r="D232" t="s">
        <v>128</v>
      </c>
      <c r="E232" s="1" t="s">
        <v>151</v>
      </c>
      <c r="F232" s="3" t="s">
        <v>102</v>
      </c>
      <c r="G232" t="s">
        <v>103</v>
      </c>
      <c r="H232">
        <v>1</v>
      </c>
    </row>
    <row r="233" spans="1:8" x14ac:dyDescent="0.3">
      <c r="A233">
        <v>1</v>
      </c>
      <c r="C233" t="s">
        <v>132</v>
      </c>
      <c r="D233" t="s">
        <v>128</v>
      </c>
      <c r="E233" s="1" t="s">
        <v>9</v>
      </c>
      <c r="F233" s="3" t="s">
        <v>102</v>
      </c>
      <c r="G233" t="s">
        <v>103</v>
      </c>
      <c r="H233">
        <v>4</v>
      </c>
    </row>
    <row r="234" spans="1:8" x14ac:dyDescent="0.3">
      <c r="A234">
        <v>1</v>
      </c>
      <c r="C234" t="s">
        <v>134</v>
      </c>
      <c r="D234" t="s">
        <v>128</v>
      </c>
      <c r="E234" s="1" t="s">
        <v>9</v>
      </c>
      <c r="F234" s="3" t="s">
        <v>102</v>
      </c>
      <c r="G234" t="s">
        <v>103</v>
      </c>
      <c r="H234">
        <v>3</v>
      </c>
    </row>
    <row r="235" spans="1:8" x14ac:dyDescent="0.3">
      <c r="A235">
        <v>1</v>
      </c>
      <c r="C235" t="s">
        <v>135</v>
      </c>
      <c r="D235" t="s">
        <v>128</v>
      </c>
      <c r="E235" s="1" t="s">
        <v>9</v>
      </c>
      <c r="F235" s="3" t="s">
        <v>102</v>
      </c>
      <c r="G235" t="s">
        <v>103</v>
      </c>
      <c r="H235">
        <v>1</v>
      </c>
    </row>
    <row r="236" spans="1:8" x14ac:dyDescent="0.3">
      <c r="A236">
        <v>5</v>
      </c>
      <c r="B236">
        <v>1</v>
      </c>
      <c r="C236" t="s">
        <v>127</v>
      </c>
      <c r="D236" t="s">
        <v>128</v>
      </c>
      <c r="E236" s="1" t="s">
        <v>9</v>
      </c>
      <c r="F236" s="3" t="s">
        <v>102</v>
      </c>
      <c r="G236" t="s">
        <v>103</v>
      </c>
      <c r="H236">
        <v>4</v>
      </c>
    </row>
    <row r="237" spans="1:8" x14ac:dyDescent="0.3">
      <c r="A237">
        <v>5</v>
      </c>
      <c r="C237" t="s">
        <v>131</v>
      </c>
      <c r="D237" t="s">
        <v>128</v>
      </c>
      <c r="E237" s="1" t="s">
        <v>9</v>
      </c>
      <c r="F237" s="3" t="s">
        <v>102</v>
      </c>
      <c r="G237" t="s">
        <v>103</v>
      </c>
      <c r="H237">
        <v>5</v>
      </c>
    </row>
    <row r="238" spans="1:8" x14ac:dyDescent="0.3">
      <c r="A238">
        <v>6</v>
      </c>
      <c r="B238">
        <v>4</v>
      </c>
      <c r="C238" t="s">
        <v>118</v>
      </c>
      <c r="D238" t="s">
        <v>101</v>
      </c>
      <c r="E238" s="1" t="s">
        <v>110</v>
      </c>
      <c r="F238" s="63" t="s">
        <v>121</v>
      </c>
      <c r="G238" t="s">
        <v>122</v>
      </c>
      <c r="H238">
        <v>1</v>
      </c>
    </row>
    <row r="239" spans="1:8" x14ac:dyDescent="0.3">
      <c r="A239">
        <v>6</v>
      </c>
      <c r="B239">
        <v>3</v>
      </c>
      <c r="C239" t="s">
        <v>113</v>
      </c>
      <c r="D239" t="s">
        <v>101</v>
      </c>
      <c r="E239" s="1" t="s">
        <v>28</v>
      </c>
      <c r="F239" s="63" t="s">
        <v>116</v>
      </c>
      <c r="H239">
        <v>8</v>
      </c>
    </row>
    <row r="240" spans="1:8" x14ac:dyDescent="0.3">
      <c r="A240">
        <v>6</v>
      </c>
      <c r="B240">
        <v>4</v>
      </c>
      <c r="C240" t="s">
        <v>118</v>
      </c>
      <c r="D240" t="s">
        <v>101</v>
      </c>
      <c r="E240" s="1" t="s">
        <v>28</v>
      </c>
      <c r="F240" s="63" t="s">
        <v>116</v>
      </c>
      <c r="H240">
        <v>7</v>
      </c>
    </row>
    <row r="241" spans="1:8" x14ac:dyDescent="0.3">
      <c r="A241">
        <v>3</v>
      </c>
      <c r="C241" t="s">
        <v>134</v>
      </c>
      <c r="D241" t="s">
        <v>128</v>
      </c>
      <c r="E241"/>
      <c r="F241" s="3" t="s">
        <v>116</v>
      </c>
      <c r="H241">
        <v>8</v>
      </c>
    </row>
    <row r="242" spans="1:8" x14ac:dyDescent="0.3">
      <c r="A242">
        <v>2</v>
      </c>
      <c r="B242">
        <v>4</v>
      </c>
      <c r="C242" t="s">
        <v>118</v>
      </c>
      <c r="D242" t="s">
        <v>101</v>
      </c>
      <c r="E242" s="1" t="s">
        <v>28</v>
      </c>
      <c r="F242" s="3" t="s">
        <v>116</v>
      </c>
      <c r="H242">
        <v>5</v>
      </c>
    </row>
    <row r="243" spans="1:8" x14ac:dyDescent="0.3">
      <c r="A243">
        <v>2</v>
      </c>
      <c r="B243">
        <v>5</v>
      </c>
      <c r="C243" t="s">
        <v>141</v>
      </c>
      <c r="D243" t="s">
        <v>101</v>
      </c>
      <c r="E243" s="1" t="s">
        <v>28</v>
      </c>
      <c r="F243" s="3" t="s">
        <v>116</v>
      </c>
      <c r="H243">
        <v>7</v>
      </c>
    </row>
    <row r="244" spans="1:8" x14ac:dyDescent="0.3">
      <c r="A244">
        <v>4</v>
      </c>
      <c r="B244">
        <v>3</v>
      </c>
      <c r="C244" t="s">
        <v>113</v>
      </c>
      <c r="D244" t="s">
        <v>101</v>
      </c>
      <c r="E244" s="1" t="s">
        <v>153</v>
      </c>
      <c r="F244" s="3" t="s">
        <v>116</v>
      </c>
      <c r="H244">
        <v>4</v>
      </c>
    </row>
    <row r="245" spans="1:8" x14ac:dyDescent="0.3">
      <c r="A245">
        <v>4</v>
      </c>
      <c r="B245">
        <v>4</v>
      </c>
      <c r="C245" t="s">
        <v>134</v>
      </c>
      <c r="D245" t="s">
        <v>128</v>
      </c>
      <c r="E245" s="1" t="s">
        <v>153</v>
      </c>
      <c r="F245" s="3" t="s">
        <v>116</v>
      </c>
      <c r="H245">
        <v>2</v>
      </c>
    </row>
    <row r="246" spans="1:8" x14ac:dyDescent="0.3">
      <c r="A246">
        <v>1</v>
      </c>
      <c r="C246" t="s">
        <v>141</v>
      </c>
      <c r="D246" t="s">
        <v>101</v>
      </c>
      <c r="E246" s="1" t="s">
        <v>28</v>
      </c>
      <c r="F246" s="3" t="s">
        <v>116</v>
      </c>
      <c r="H246">
        <v>7</v>
      </c>
    </row>
    <row r="247" spans="1:8" x14ac:dyDescent="0.3">
      <c r="A247">
        <v>1</v>
      </c>
      <c r="C247" t="s">
        <v>135</v>
      </c>
      <c r="D247" t="s">
        <v>128</v>
      </c>
      <c r="E247" s="1" t="s">
        <v>28</v>
      </c>
      <c r="F247" s="3" t="s">
        <v>116</v>
      </c>
      <c r="H247">
        <v>4</v>
      </c>
    </row>
    <row r="248" spans="1:8" x14ac:dyDescent="0.3">
      <c r="A248">
        <v>5</v>
      </c>
      <c r="C248" t="s">
        <v>106</v>
      </c>
      <c r="D248" t="s">
        <v>101</v>
      </c>
      <c r="E248" s="1" t="s">
        <v>28</v>
      </c>
      <c r="F248" s="3" t="s">
        <v>116</v>
      </c>
      <c r="H248">
        <v>4</v>
      </c>
    </row>
    <row r="249" spans="1:8" x14ac:dyDescent="0.3">
      <c r="A249">
        <v>6</v>
      </c>
      <c r="B249">
        <v>3</v>
      </c>
      <c r="C249" t="s">
        <v>113</v>
      </c>
      <c r="D249" t="s">
        <v>101</v>
      </c>
      <c r="E249" s="1" t="s">
        <v>28</v>
      </c>
      <c r="F249" s="63" t="s">
        <v>117</v>
      </c>
      <c r="H249">
        <v>10</v>
      </c>
    </row>
    <row r="250" spans="1:8" x14ac:dyDescent="0.3">
      <c r="A250">
        <v>6</v>
      </c>
      <c r="B250">
        <v>5</v>
      </c>
      <c r="C250" t="s">
        <v>124</v>
      </c>
      <c r="D250" t="s">
        <v>101</v>
      </c>
      <c r="E250" s="1" t="s">
        <v>28</v>
      </c>
      <c r="F250" s="63" t="s">
        <v>117</v>
      </c>
      <c r="H250">
        <v>2</v>
      </c>
    </row>
    <row r="251" spans="1:8" x14ac:dyDescent="0.3">
      <c r="A251">
        <v>6</v>
      </c>
      <c r="B251">
        <v>1</v>
      </c>
      <c r="C251" t="s">
        <v>127</v>
      </c>
      <c r="D251" t="s">
        <v>128</v>
      </c>
      <c r="E251" s="1" t="s">
        <v>28</v>
      </c>
      <c r="F251" s="63" t="s">
        <v>117</v>
      </c>
      <c r="H251">
        <v>7</v>
      </c>
    </row>
    <row r="252" spans="1:8" x14ac:dyDescent="0.3">
      <c r="A252">
        <v>6</v>
      </c>
      <c r="B252">
        <v>2</v>
      </c>
      <c r="C252" t="s">
        <v>131</v>
      </c>
      <c r="D252" t="s">
        <v>128</v>
      </c>
      <c r="E252" s="1" t="s">
        <v>28</v>
      </c>
      <c r="F252" s="63" t="s">
        <v>117</v>
      </c>
      <c r="H252">
        <v>6</v>
      </c>
    </row>
    <row r="253" spans="1:8" x14ac:dyDescent="0.3">
      <c r="A253">
        <v>6</v>
      </c>
      <c r="B253">
        <v>3</v>
      </c>
      <c r="C253" t="s">
        <v>132</v>
      </c>
      <c r="D253" t="s">
        <v>128</v>
      </c>
      <c r="E253" s="1" t="s">
        <v>28</v>
      </c>
      <c r="F253" s="63" t="s">
        <v>117</v>
      </c>
      <c r="H253">
        <v>7</v>
      </c>
    </row>
    <row r="254" spans="1:8" x14ac:dyDescent="0.3">
      <c r="A254">
        <v>6</v>
      </c>
      <c r="B254">
        <v>4</v>
      </c>
      <c r="C254" t="s">
        <v>134</v>
      </c>
      <c r="D254" t="s">
        <v>128</v>
      </c>
      <c r="E254" s="1" t="s">
        <v>28</v>
      </c>
      <c r="F254" s="63" t="s">
        <v>117</v>
      </c>
      <c r="H254">
        <v>7</v>
      </c>
    </row>
    <row r="255" spans="1:8" x14ac:dyDescent="0.3">
      <c r="A255">
        <v>6</v>
      </c>
      <c r="B255">
        <v>5</v>
      </c>
      <c r="C255" t="s">
        <v>135</v>
      </c>
      <c r="D255" t="s">
        <v>128</v>
      </c>
      <c r="E255" s="1" t="s">
        <v>28</v>
      </c>
      <c r="F255" s="63" t="s">
        <v>117</v>
      </c>
      <c r="H255">
        <v>6</v>
      </c>
    </row>
    <row r="256" spans="1:8" x14ac:dyDescent="0.3">
      <c r="A256">
        <v>2</v>
      </c>
      <c r="B256">
        <v>1</v>
      </c>
      <c r="C256" t="s">
        <v>100</v>
      </c>
      <c r="D256" t="s">
        <v>101</v>
      </c>
      <c r="E256" s="1" t="s">
        <v>28</v>
      </c>
      <c r="F256" s="63" t="s">
        <v>117</v>
      </c>
      <c r="H256">
        <v>5</v>
      </c>
    </row>
    <row r="257" spans="1:8" x14ac:dyDescent="0.3">
      <c r="A257">
        <v>2</v>
      </c>
      <c r="B257">
        <v>2</v>
      </c>
      <c r="C257" t="s">
        <v>106</v>
      </c>
      <c r="D257" t="s">
        <v>101</v>
      </c>
      <c r="E257" s="1" t="s">
        <v>28</v>
      </c>
      <c r="F257" s="63" t="s">
        <v>117</v>
      </c>
      <c r="H257">
        <v>5</v>
      </c>
    </row>
    <row r="258" spans="1:8" x14ac:dyDescent="0.3">
      <c r="A258">
        <v>2</v>
      </c>
      <c r="B258">
        <v>6</v>
      </c>
      <c r="C258" t="s">
        <v>127</v>
      </c>
      <c r="D258" t="s">
        <v>128</v>
      </c>
      <c r="E258" s="1" t="s">
        <v>28</v>
      </c>
      <c r="F258" s="63" t="s">
        <v>117</v>
      </c>
      <c r="H258">
        <v>8</v>
      </c>
    </row>
    <row r="259" spans="1:8" x14ac:dyDescent="0.3">
      <c r="A259">
        <v>2</v>
      </c>
      <c r="B259">
        <v>7</v>
      </c>
      <c r="C259" t="s">
        <v>131</v>
      </c>
      <c r="D259" t="s">
        <v>128</v>
      </c>
      <c r="E259" s="1" t="s">
        <v>28</v>
      </c>
      <c r="F259" s="63" t="s">
        <v>117</v>
      </c>
      <c r="H259">
        <v>4</v>
      </c>
    </row>
    <row r="260" spans="1:8" x14ac:dyDescent="0.3">
      <c r="A260">
        <v>2</v>
      </c>
      <c r="B260">
        <v>8</v>
      </c>
      <c r="C260" t="s">
        <v>132</v>
      </c>
      <c r="D260" t="s">
        <v>128</v>
      </c>
      <c r="E260" s="1" t="s">
        <v>28</v>
      </c>
      <c r="F260" s="63" t="s">
        <v>117</v>
      </c>
      <c r="H260">
        <v>5</v>
      </c>
    </row>
    <row r="261" spans="1:8" x14ac:dyDescent="0.3">
      <c r="A261">
        <v>2</v>
      </c>
      <c r="B261">
        <v>10</v>
      </c>
      <c r="C261" t="s">
        <v>135</v>
      </c>
      <c r="D261" t="s">
        <v>128</v>
      </c>
      <c r="E261" s="1" t="s">
        <v>28</v>
      </c>
      <c r="F261" s="63" t="s">
        <v>117</v>
      </c>
      <c r="H261">
        <v>5</v>
      </c>
    </row>
    <row r="262" spans="1:8" x14ac:dyDescent="0.3">
      <c r="A262">
        <v>4</v>
      </c>
      <c r="B262">
        <v>1</v>
      </c>
      <c r="C262" t="s">
        <v>100</v>
      </c>
      <c r="D262" t="s">
        <v>101</v>
      </c>
      <c r="E262" s="1" t="s">
        <v>153</v>
      </c>
      <c r="F262" s="63" t="s">
        <v>117</v>
      </c>
      <c r="H262">
        <v>7</v>
      </c>
    </row>
    <row r="263" spans="1:8" x14ac:dyDescent="0.3">
      <c r="A263">
        <v>4</v>
      </c>
      <c r="B263">
        <v>2</v>
      </c>
      <c r="C263" t="s">
        <v>106</v>
      </c>
      <c r="D263" t="s">
        <v>101</v>
      </c>
      <c r="E263" s="1" t="s">
        <v>153</v>
      </c>
      <c r="F263" s="63" t="s">
        <v>117</v>
      </c>
      <c r="H263">
        <v>8</v>
      </c>
    </row>
    <row r="264" spans="1:8" x14ac:dyDescent="0.3">
      <c r="A264">
        <v>4</v>
      </c>
      <c r="B264">
        <v>3</v>
      </c>
      <c r="C264" t="s">
        <v>113</v>
      </c>
      <c r="D264" t="s">
        <v>101</v>
      </c>
      <c r="E264" s="1" t="s">
        <v>153</v>
      </c>
      <c r="F264" s="3" t="s">
        <v>117</v>
      </c>
      <c r="H264">
        <v>5</v>
      </c>
    </row>
    <row r="265" spans="1:8" x14ac:dyDescent="0.3">
      <c r="A265">
        <v>4</v>
      </c>
      <c r="B265">
        <v>4</v>
      </c>
      <c r="C265" t="s">
        <v>118</v>
      </c>
      <c r="D265" t="s">
        <v>101</v>
      </c>
      <c r="E265" s="1" t="s">
        <v>153</v>
      </c>
      <c r="F265" s="3" t="s">
        <v>117</v>
      </c>
      <c r="H265">
        <v>4</v>
      </c>
    </row>
    <row r="266" spans="1:8" x14ac:dyDescent="0.3">
      <c r="A266">
        <v>4</v>
      </c>
      <c r="B266">
        <v>5</v>
      </c>
      <c r="C266" t="s">
        <v>141</v>
      </c>
      <c r="D266" t="s">
        <v>101</v>
      </c>
      <c r="E266" s="1" t="s">
        <v>153</v>
      </c>
      <c r="F266" s="3" t="s">
        <v>117</v>
      </c>
      <c r="H266">
        <v>7</v>
      </c>
    </row>
    <row r="267" spans="1:8" x14ac:dyDescent="0.3">
      <c r="A267">
        <v>4</v>
      </c>
      <c r="B267">
        <v>1</v>
      </c>
      <c r="C267" t="s">
        <v>127</v>
      </c>
      <c r="D267" t="s">
        <v>128</v>
      </c>
      <c r="E267" s="1" t="s">
        <v>153</v>
      </c>
      <c r="F267" s="3" t="s">
        <v>117</v>
      </c>
      <c r="H267">
        <v>5</v>
      </c>
    </row>
    <row r="268" spans="1:8" x14ac:dyDescent="0.3">
      <c r="A268">
        <v>4</v>
      </c>
      <c r="B268">
        <v>2</v>
      </c>
      <c r="C268" t="s">
        <v>131</v>
      </c>
      <c r="D268" t="s">
        <v>128</v>
      </c>
      <c r="E268" s="1" t="s">
        <v>153</v>
      </c>
      <c r="F268" s="3" t="s">
        <v>117</v>
      </c>
      <c r="H268">
        <v>8</v>
      </c>
    </row>
    <row r="269" spans="1:8" x14ac:dyDescent="0.3">
      <c r="A269">
        <v>4</v>
      </c>
      <c r="B269">
        <v>3</v>
      </c>
      <c r="C269" t="s">
        <v>132</v>
      </c>
      <c r="D269" t="s">
        <v>128</v>
      </c>
      <c r="E269" s="1" t="s">
        <v>153</v>
      </c>
      <c r="F269" s="3" t="s">
        <v>117</v>
      </c>
      <c r="H269">
        <v>9</v>
      </c>
    </row>
    <row r="270" spans="1:8" x14ac:dyDescent="0.3">
      <c r="A270">
        <v>4</v>
      </c>
      <c r="B270">
        <v>4</v>
      </c>
      <c r="C270" t="s">
        <v>134</v>
      </c>
      <c r="D270" t="s">
        <v>128</v>
      </c>
      <c r="E270" s="1" t="s">
        <v>153</v>
      </c>
      <c r="F270" s="3" t="s">
        <v>117</v>
      </c>
      <c r="H270">
        <v>3</v>
      </c>
    </row>
    <row r="271" spans="1:8" x14ac:dyDescent="0.3">
      <c r="A271">
        <v>4</v>
      </c>
      <c r="B271">
        <v>5</v>
      </c>
      <c r="C271" t="s">
        <v>135</v>
      </c>
      <c r="D271" t="s">
        <v>128</v>
      </c>
      <c r="E271" s="1" t="s">
        <v>153</v>
      </c>
      <c r="F271" s="3" t="s">
        <v>117</v>
      </c>
      <c r="H271">
        <v>9</v>
      </c>
    </row>
    <row r="272" spans="1:8" x14ac:dyDescent="0.3">
      <c r="A272">
        <v>1</v>
      </c>
      <c r="B272">
        <v>1</v>
      </c>
      <c r="C272" t="s">
        <v>100</v>
      </c>
      <c r="D272" t="s">
        <v>101</v>
      </c>
      <c r="E272" s="1" t="s">
        <v>28</v>
      </c>
      <c r="F272" s="3" t="s">
        <v>117</v>
      </c>
      <c r="H272">
        <v>8</v>
      </c>
    </row>
    <row r="273" spans="1:8" x14ac:dyDescent="0.3">
      <c r="A273">
        <v>1</v>
      </c>
      <c r="C273" t="s">
        <v>113</v>
      </c>
      <c r="D273" t="s">
        <v>101</v>
      </c>
      <c r="E273" s="1" t="s">
        <v>28</v>
      </c>
      <c r="F273" s="3" t="s">
        <v>117</v>
      </c>
      <c r="H273">
        <v>6</v>
      </c>
    </row>
    <row r="274" spans="1:8" x14ac:dyDescent="0.3">
      <c r="A274">
        <v>1</v>
      </c>
      <c r="C274" t="s">
        <v>118</v>
      </c>
      <c r="D274" t="s">
        <v>101</v>
      </c>
      <c r="E274" s="1" t="s">
        <v>28</v>
      </c>
      <c r="F274" s="3" t="s">
        <v>117</v>
      </c>
      <c r="H274">
        <v>9</v>
      </c>
    </row>
    <row r="275" spans="1:8" x14ac:dyDescent="0.3">
      <c r="A275">
        <v>1</v>
      </c>
      <c r="C275" t="s">
        <v>141</v>
      </c>
      <c r="D275" t="s">
        <v>101</v>
      </c>
      <c r="E275" s="1" t="s">
        <v>28</v>
      </c>
      <c r="F275" s="3" t="s">
        <v>117</v>
      </c>
      <c r="H275">
        <v>9</v>
      </c>
    </row>
    <row r="276" spans="1:8" x14ac:dyDescent="0.3">
      <c r="A276">
        <v>1</v>
      </c>
      <c r="C276" t="s">
        <v>127</v>
      </c>
      <c r="D276" t="s">
        <v>128</v>
      </c>
      <c r="E276" s="1" t="s">
        <v>28</v>
      </c>
      <c r="F276" s="3" t="s">
        <v>117</v>
      </c>
      <c r="H276">
        <v>10</v>
      </c>
    </row>
    <row r="277" spans="1:8" x14ac:dyDescent="0.3">
      <c r="A277">
        <v>1</v>
      </c>
      <c r="C277" t="s">
        <v>131</v>
      </c>
      <c r="D277" t="s">
        <v>128</v>
      </c>
      <c r="E277" s="1" t="s">
        <v>28</v>
      </c>
      <c r="F277" s="3" t="s">
        <v>117</v>
      </c>
      <c r="H277">
        <v>10</v>
      </c>
    </row>
    <row r="278" spans="1:8" x14ac:dyDescent="0.3">
      <c r="A278">
        <v>1</v>
      </c>
      <c r="C278" t="s">
        <v>132</v>
      </c>
      <c r="D278" t="s">
        <v>128</v>
      </c>
      <c r="E278" s="1" t="s">
        <v>28</v>
      </c>
      <c r="F278" s="3" t="s">
        <v>117</v>
      </c>
      <c r="H278">
        <v>9</v>
      </c>
    </row>
    <row r="279" spans="1:8" x14ac:dyDescent="0.3">
      <c r="A279">
        <v>1</v>
      </c>
      <c r="C279" t="s">
        <v>134</v>
      </c>
      <c r="D279" t="s">
        <v>128</v>
      </c>
      <c r="E279" s="1" t="s">
        <v>28</v>
      </c>
      <c r="F279" s="3" t="s">
        <v>117</v>
      </c>
      <c r="H279">
        <v>10</v>
      </c>
    </row>
    <row r="280" spans="1:8" x14ac:dyDescent="0.3">
      <c r="A280">
        <v>1</v>
      </c>
      <c r="C280" t="s">
        <v>135</v>
      </c>
      <c r="D280" t="s">
        <v>128</v>
      </c>
      <c r="E280" s="1" t="s">
        <v>28</v>
      </c>
      <c r="F280" s="3" t="s">
        <v>117</v>
      </c>
      <c r="H280">
        <v>10</v>
      </c>
    </row>
    <row r="281" spans="1:8" x14ac:dyDescent="0.3">
      <c r="A281">
        <v>5</v>
      </c>
      <c r="C281" t="s">
        <v>127</v>
      </c>
      <c r="D281" t="s">
        <v>128</v>
      </c>
      <c r="E281" s="1" t="s">
        <v>28</v>
      </c>
      <c r="F281" s="3" t="s">
        <v>117</v>
      </c>
      <c r="H281">
        <v>9</v>
      </c>
    </row>
    <row r="282" spans="1:8" x14ac:dyDescent="0.3">
      <c r="A282">
        <v>5</v>
      </c>
      <c r="C282" t="s">
        <v>131</v>
      </c>
      <c r="D282" t="s">
        <v>128</v>
      </c>
      <c r="E282" s="1" t="s">
        <v>28</v>
      </c>
      <c r="F282" s="3" t="s">
        <v>117</v>
      </c>
      <c r="H282">
        <v>9</v>
      </c>
    </row>
    <row r="283" spans="1:8" x14ac:dyDescent="0.3">
      <c r="A283">
        <v>5</v>
      </c>
      <c r="C283" t="s">
        <v>132</v>
      </c>
      <c r="D283" t="s">
        <v>128</v>
      </c>
      <c r="E283" s="1" t="s">
        <v>28</v>
      </c>
      <c r="F283" s="3" t="s">
        <v>117</v>
      </c>
      <c r="H283">
        <v>9</v>
      </c>
    </row>
    <row r="284" spans="1:8" x14ac:dyDescent="0.3">
      <c r="A284">
        <v>5</v>
      </c>
      <c r="C284" t="s">
        <v>134</v>
      </c>
      <c r="D284" t="s">
        <v>128</v>
      </c>
      <c r="E284" s="1" t="s">
        <v>28</v>
      </c>
      <c r="F284" s="3" t="s">
        <v>117</v>
      </c>
      <c r="H284">
        <v>9</v>
      </c>
    </row>
    <row r="285" spans="1:8" x14ac:dyDescent="0.3">
      <c r="A285">
        <v>5</v>
      </c>
      <c r="C285" t="s">
        <v>135</v>
      </c>
      <c r="D285" t="s">
        <v>128</v>
      </c>
      <c r="E285" s="1" t="s">
        <v>28</v>
      </c>
      <c r="F285" s="3" t="s">
        <v>117</v>
      </c>
      <c r="H285">
        <v>9</v>
      </c>
    </row>
    <row r="286" spans="1:8" x14ac:dyDescent="0.3">
      <c r="A286">
        <v>5</v>
      </c>
      <c r="C286" t="s">
        <v>100</v>
      </c>
      <c r="D286" t="s">
        <v>101</v>
      </c>
      <c r="E286" s="1" t="s">
        <v>28</v>
      </c>
      <c r="F286" s="3" t="s">
        <v>117</v>
      </c>
      <c r="H286">
        <v>9</v>
      </c>
    </row>
    <row r="287" spans="1:8" x14ac:dyDescent="0.3">
      <c r="A287">
        <v>5</v>
      </c>
      <c r="C287" t="s">
        <v>106</v>
      </c>
      <c r="D287" t="s">
        <v>101</v>
      </c>
      <c r="E287" s="1" t="s">
        <v>28</v>
      </c>
      <c r="F287" s="3" t="s">
        <v>117</v>
      </c>
      <c r="H287">
        <v>9</v>
      </c>
    </row>
    <row r="288" spans="1:8" x14ac:dyDescent="0.3">
      <c r="A288">
        <v>6</v>
      </c>
      <c r="B288">
        <v>4</v>
      </c>
      <c r="C288" t="s">
        <v>118</v>
      </c>
      <c r="D288" t="s">
        <v>101</v>
      </c>
      <c r="E288" s="1" t="s">
        <v>28</v>
      </c>
      <c r="F288" s="63" t="s">
        <v>123</v>
      </c>
      <c r="H288">
        <v>2</v>
      </c>
    </row>
    <row r="289" spans="1:8" x14ac:dyDescent="0.3">
      <c r="A289">
        <v>6</v>
      </c>
      <c r="B289">
        <v>5</v>
      </c>
      <c r="C289" t="s">
        <v>124</v>
      </c>
      <c r="D289" t="s">
        <v>101</v>
      </c>
      <c r="E289" s="1" t="s">
        <v>28</v>
      </c>
      <c r="F289" s="63" t="s">
        <v>123</v>
      </c>
      <c r="H289">
        <v>10</v>
      </c>
    </row>
    <row r="290" spans="1:8" x14ac:dyDescent="0.3">
      <c r="A290">
        <v>6</v>
      </c>
      <c r="B290">
        <v>1</v>
      </c>
      <c r="C290" t="s">
        <v>127</v>
      </c>
      <c r="D290" t="s">
        <v>128</v>
      </c>
      <c r="E290" s="1" t="s">
        <v>28</v>
      </c>
      <c r="F290" s="63" t="s">
        <v>123</v>
      </c>
      <c r="H290">
        <v>7</v>
      </c>
    </row>
    <row r="291" spans="1:8" x14ac:dyDescent="0.3">
      <c r="A291">
        <v>6</v>
      </c>
      <c r="B291">
        <v>1</v>
      </c>
      <c r="C291" t="s">
        <v>127</v>
      </c>
      <c r="D291" t="s">
        <v>128</v>
      </c>
      <c r="E291" s="1" t="s">
        <v>28</v>
      </c>
      <c r="F291" s="63" t="s">
        <v>123</v>
      </c>
      <c r="H291">
        <v>4</v>
      </c>
    </row>
    <row r="292" spans="1:8" x14ac:dyDescent="0.3">
      <c r="A292">
        <v>6</v>
      </c>
      <c r="B292">
        <v>2</v>
      </c>
      <c r="C292" t="s">
        <v>131</v>
      </c>
      <c r="D292" t="s">
        <v>128</v>
      </c>
      <c r="E292" s="1" t="s">
        <v>28</v>
      </c>
      <c r="F292" s="63" t="s">
        <v>123</v>
      </c>
      <c r="H292">
        <v>4</v>
      </c>
    </row>
    <row r="293" spans="1:8" x14ac:dyDescent="0.3">
      <c r="A293">
        <v>6</v>
      </c>
      <c r="B293">
        <v>2</v>
      </c>
      <c r="C293" t="s">
        <v>131</v>
      </c>
      <c r="D293" t="s">
        <v>128</v>
      </c>
      <c r="E293" s="1" t="s">
        <v>28</v>
      </c>
      <c r="F293" s="63" t="s">
        <v>123</v>
      </c>
      <c r="H293">
        <v>7</v>
      </c>
    </row>
    <row r="294" spans="1:8" x14ac:dyDescent="0.3">
      <c r="A294">
        <v>6</v>
      </c>
      <c r="B294">
        <v>3</v>
      </c>
      <c r="C294" t="s">
        <v>132</v>
      </c>
      <c r="D294" t="s">
        <v>128</v>
      </c>
      <c r="E294" s="1" t="s">
        <v>28</v>
      </c>
      <c r="F294" s="63" t="s">
        <v>123</v>
      </c>
      <c r="H294">
        <v>4</v>
      </c>
    </row>
    <row r="295" spans="1:8" x14ac:dyDescent="0.3">
      <c r="A295">
        <v>6</v>
      </c>
      <c r="B295">
        <v>4</v>
      </c>
      <c r="C295" t="s">
        <v>134</v>
      </c>
      <c r="D295" t="s">
        <v>128</v>
      </c>
      <c r="E295" s="1" t="s">
        <v>28</v>
      </c>
      <c r="F295" s="63" t="s">
        <v>123</v>
      </c>
      <c r="H295">
        <v>6</v>
      </c>
    </row>
    <row r="296" spans="1:8" x14ac:dyDescent="0.3">
      <c r="A296">
        <v>6</v>
      </c>
      <c r="B296">
        <v>5</v>
      </c>
      <c r="C296" t="s">
        <v>135</v>
      </c>
      <c r="D296" t="s">
        <v>128</v>
      </c>
      <c r="E296" s="1" t="s">
        <v>28</v>
      </c>
      <c r="F296" s="63" t="s">
        <v>123</v>
      </c>
      <c r="H296">
        <v>7</v>
      </c>
    </row>
    <row r="297" spans="1:8" x14ac:dyDescent="0.3">
      <c r="A297">
        <v>2</v>
      </c>
      <c r="B297">
        <v>6</v>
      </c>
      <c r="C297" t="s">
        <v>127</v>
      </c>
      <c r="D297" t="s">
        <v>128</v>
      </c>
      <c r="E297" s="1" t="s">
        <v>28</v>
      </c>
      <c r="F297" s="63" t="s">
        <v>123</v>
      </c>
      <c r="H297">
        <v>4</v>
      </c>
    </row>
    <row r="298" spans="1:8" x14ac:dyDescent="0.3">
      <c r="A298">
        <v>2</v>
      </c>
      <c r="B298">
        <v>7</v>
      </c>
      <c r="C298" t="s">
        <v>131</v>
      </c>
      <c r="D298" t="s">
        <v>128</v>
      </c>
      <c r="E298" s="1" t="s">
        <v>28</v>
      </c>
      <c r="F298" s="63" t="s">
        <v>123</v>
      </c>
      <c r="H298">
        <v>7</v>
      </c>
    </row>
    <row r="299" spans="1:8" x14ac:dyDescent="0.3">
      <c r="A299">
        <v>4</v>
      </c>
      <c r="B299">
        <v>1</v>
      </c>
      <c r="C299" t="s">
        <v>100</v>
      </c>
      <c r="D299" t="s">
        <v>101</v>
      </c>
      <c r="E299" s="1" t="s">
        <v>153</v>
      </c>
      <c r="F299" s="3" t="s">
        <v>123</v>
      </c>
      <c r="H299">
        <v>6</v>
      </c>
    </row>
    <row r="300" spans="1:8" x14ac:dyDescent="0.3">
      <c r="A300">
        <v>4</v>
      </c>
      <c r="B300">
        <v>2</v>
      </c>
      <c r="C300" t="s">
        <v>106</v>
      </c>
      <c r="D300" t="s">
        <v>101</v>
      </c>
      <c r="E300" s="1" t="s">
        <v>153</v>
      </c>
      <c r="F300" s="63" t="s">
        <v>123</v>
      </c>
      <c r="H300">
        <v>4</v>
      </c>
    </row>
    <row r="301" spans="1:8" x14ac:dyDescent="0.3">
      <c r="A301">
        <v>4</v>
      </c>
      <c r="B301">
        <v>3</v>
      </c>
      <c r="C301" t="s">
        <v>113</v>
      </c>
      <c r="D301" t="s">
        <v>101</v>
      </c>
      <c r="E301" s="1" t="s">
        <v>153</v>
      </c>
      <c r="F301" s="63" t="s">
        <v>123</v>
      </c>
      <c r="H301">
        <v>4</v>
      </c>
    </row>
    <row r="302" spans="1:8" x14ac:dyDescent="0.3">
      <c r="A302">
        <v>4</v>
      </c>
      <c r="B302">
        <v>4</v>
      </c>
      <c r="C302" t="s">
        <v>118</v>
      </c>
      <c r="D302" t="s">
        <v>101</v>
      </c>
      <c r="E302" s="1" t="s">
        <v>153</v>
      </c>
      <c r="F302" s="63" t="s">
        <v>123</v>
      </c>
      <c r="H302">
        <v>2</v>
      </c>
    </row>
    <row r="303" spans="1:8" x14ac:dyDescent="0.3">
      <c r="A303">
        <v>4</v>
      </c>
      <c r="B303">
        <v>5</v>
      </c>
      <c r="C303" t="s">
        <v>141</v>
      </c>
      <c r="D303" t="s">
        <v>101</v>
      </c>
      <c r="E303" s="1" t="s">
        <v>153</v>
      </c>
      <c r="F303" s="63" t="s">
        <v>123</v>
      </c>
      <c r="H303">
        <v>2</v>
      </c>
    </row>
    <row r="304" spans="1:8" x14ac:dyDescent="0.3">
      <c r="A304">
        <v>4</v>
      </c>
      <c r="B304">
        <v>1</v>
      </c>
      <c r="C304" t="s">
        <v>127</v>
      </c>
      <c r="D304" t="s">
        <v>128</v>
      </c>
      <c r="E304" s="1" t="s">
        <v>153</v>
      </c>
      <c r="F304" s="63" t="s">
        <v>123</v>
      </c>
      <c r="H304">
        <v>2</v>
      </c>
    </row>
    <row r="305" spans="1:8" x14ac:dyDescent="0.3">
      <c r="A305">
        <v>4</v>
      </c>
      <c r="B305">
        <v>2</v>
      </c>
      <c r="C305" t="s">
        <v>131</v>
      </c>
      <c r="D305" t="s">
        <v>128</v>
      </c>
      <c r="E305" s="1" t="s">
        <v>153</v>
      </c>
      <c r="F305" s="63" t="s">
        <v>123</v>
      </c>
      <c r="H305">
        <v>6</v>
      </c>
    </row>
    <row r="306" spans="1:8" x14ac:dyDescent="0.3">
      <c r="A306">
        <v>4</v>
      </c>
      <c r="B306">
        <v>5</v>
      </c>
      <c r="C306" t="s">
        <v>135</v>
      </c>
      <c r="D306" t="s">
        <v>128</v>
      </c>
      <c r="E306" s="1" t="s">
        <v>153</v>
      </c>
      <c r="F306" s="63" t="s">
        <v>123</v>
      </c>
      <c r="H306">
        <v>2</v>
      </c>
    </row>
    <row r="307" spans="1:8" x14ac:dyDescent="0.3">
      <c r="A307">
        <v>1</v>
      </c>
      <c r="C307" t="s">
        <v>127</v>
      </c>
      <c r="D307" t="s">
        <v>128</v>
      </c>
      <c r="E307" s="1" t="s">
        <v>28</v>
      </c>
      <c r="F307" s="63" t="s">
        <v>123</v>
      </c>
      <c r="H307">
        <v>4</v>
      </c>
    </row>
    <row r="308" spans="1:8" x14ac:dyDescent="0.3">
      <c r="A308">
        <v>1</v>
      </c>
      <c r="C308" t="s">
        <v>134</v>
      </c>
      <c r="D308" t="s">
        <v>128</v>
      </c>
      <c r="E308" s="1" t="s">
        <v>28</v>
      </c>
      <c r="F308" s="63" t="s">
        <v>123</v>
      </c>
      <c r="H308">
        <v>4</v>
      </c>
    </row>
    <row r="309" spans="1:8" x14ac:dyDescent="0.3">
      <c r="A309">
        <v>3</v>
      </c>
      <c r="C309" t="s">
        <v>100</v>
      </c>
      <c r="D309" t="s">
        <v>101</v>
      </c>
      <c r="E309"/>
      <c r="F309" s="3" t="s">
        <v>140</v>
      </c>
      <c r="H309">
        <v>9</v>
      </c>
    </row>
    <row r="310" spans="1:8" x14ac:dyDescent="0.3">
      <c r="A310">
        <v>3</v>
      </c>
      <c r="C310" t="s">
        <v>106</v>
      </c>
      <c r="D310" t="s">
        <v>101</v>
      </c>
      <c r="E310"/>
      <c r="F310" s="3" t="s">
        <v>140</v>
      </c>
      <c r="H310">
        <v>7</v>
      </c>
    </row>
    <row r="311" spans="1:8" x14ac:dyDescent="0.3">
      <c r="A311">
        <v>3</v>
      </c>
      <c r="C311" t="s">
        <v>113</v>
      </c>
      <c r="D311" t="s">
        <v>101</v>
      </c>
      <c r="E311"/>
      <c r="F311" s="3" t="s">
        <v>140</v>
      </c>
      <c r="H311">
        <v>8</v>
      </c>
    </row>
    <row r="312" spans="1:8" x14ac:dyDescent="0.3">
      <c r="A312">
        <v>3</v>
      </c>
      <c r="C312" t="s">
        <v>118</v>
      </c>
      <c r="D312" t="s">
        <v>101</v>
      </c>
      <c r="E312"/>
      <c r="F312" s="3" t="s">
        <v>140</v>
      </c>
      <c r="H312">
        <v>7</v>
      </c>
    </row>
    <row r="313" spans="1:8" x14ac:dyDescent="0.3">
      <c r="A313">
        <v>3</v>
      </c>
      <c r="C313" t="s">
        <v>141</v>
      </c>
      <c r="D313" t="s">
        <v>101</v>
      </c>
      <c r="E313"/>
      <c r="F313" s="3" t="s">
        <v>140</v>
      </c>
      <c r="H313">
        <v>9</v>
      </c>
    </row>
    <row r="314" spans="1:8" x14ac:dyDescent="0.3">
      <c r="A314">
        <v>3</v>
      </c>
      <c r="C314" t="s">
        <v>127</v>
      </c>
      <c r="D314" t="s">
        <v>128</v>
      </c>
      <c r="E314"/>
      <c r="F314" s="3" t="s">
        <v>140</v>
      </c>
      <c r="H314">
        <v>9</v>
      </c>
    </row>
    <row r="315" spans="1:8" x14ac:dyDescent="0.3">
      <c r="A315">
        <v>3</v>
      </c>
      <c r="C315" t="s">
        <v>131</v>
      </c>
      <c r="D315" t="s">
        <v>128</v>
      </c>
      <c r="E315"/>
      <c r="F315" s="3" t="s">
        <v>140</v>
      </c>
      <c r="H315">
        <v>9</v>
      </c>
    </row>
    <row r="316" spans="1:8" x14ac:dyDescent="0.3">
      <c r="A316">
        <v>3</v>
      </c>
      <c r="C316" t="s">
        <v>132</v>
      </c>
      <c r="D316" t="s">
        <v>128</v>
      </c>
      <c r="E316"/>
      <c r="F316" s="3" t="s">
        <v>140</v>
      </c>
      <c r="H316">
        <v>9</v>
      </c>
    </row>
    <row r="317" spans="1:8" x14ac:dyDescent="0.3">
      <c r="A317">
        <v>3</v>
      </c>
      <c r="C317" t="s">
        <v>134</v>
      </c>
      <c r="D317" t="s">
        <v>128</v>
      </c>
      <c r="E317"/>
      <c r="F317" s="3" t="s">
        <v>140</v>
      </c>
      <c r="H317">
        <v>9</v>
      </c>
    </row>
    <row r="318" spans="1:8" x14ac:dyDescent="0.3">
      <c r="A318">
        <v>3</v>
      </c>
      <c r="C318" t="s">
        <v>135</v>
      </c>
      <c r="D318" t="s">
        <v>128</v>
      </c>
      <c r="E318"/>
      <c r="F318" s="3" t="s">
        <v>140</v>
      </c>
      <c r="H318">
        <v>10</v>
      </c>
    </row>
    <row r="319" spans="1:8" x14ac:dyDescent="0.3">
      <c r="A319">
        <v>3</v>
      </c>
      <c r="C319" t="s">
        <v>100</v>
      </c>
      <c r="D319" t="s">
        <v>101</v>
      </c>
      <c r="E319"/>
      <c r="F319" s="3" t="s">
        <v>138</v>
      </c>
      <c r="G319" t="s">
        <v>139</v>
      </c>
      <c r="H319">
        <v>10</v>
      </c>
    </row>
    <row r="320" spans="1:8" x14ac:dyDescent="0.3">
      <c r="A320">
        <v>3</v>
      </c>
      <c r="C320" t="s">
        <v>106</v>
      </c>
      <c r="D320" t="s">
        <v>101</v>
      </c>
      <c r="E320"/>
      <c r="F320" s="3" t="s">
        <v>138</v>
      </c>
      <c r="G320" t="s">
        <v>139</v>
      </c>
      <c r="H320">
        <v>9</v>
      </c>
    </row>
    <row r="321" spans="1:8" x14ac:dyDescent="0.3">
      <c r="A321">
        <v>3</v>
      </c>
      <c r="C321" t="s">
        <v>118</v>
      </c>
      <c r="D321" t="s">
        <v>101</v>
      </c>
      <c r="E321"/>
      <c r="F321" s="3" t="s">
        <v>138</v>
      </c>
      <c r="G321" t="s">
        <v>139</v>
      </c>
      <c r="H321">
        <v>5</v>
      </c>
    </row>
    <row r="322" spans="1:8" x14ac:dyDescent="0.3">
      <c r="A322">
        <v>2</v>
      </c>
      <c r="B322">
        <v>3</v>
      </c>
      <c r="C322" t="s">
        <v>113</v>
      </c>
      <c r="D322" t="s">
        <v>101</v>
      </c>
      <c r="E322" s="1" t="s">
        <v>13</v>
      </c>
      <c r="F322" s="3" t="s">
        <v>138</v>
      </c>
      <c r="G322" t="s">
        <v>139</v>
      </c>
      <c r="H322">
        <v>4</v>
      </c>
    </row>
    <row r="323" spans="1:8" x14ac:dyDescent="0.3">
      <c r="A323">
        <v>2</v>
      </c>
      <c r="B323">
        <v>6</v>
      </c>
      <c r="C323" t="s">
        <v>127</v>
      </c>
      <c r="D323" t="s">
        <v>128</v>
      </c>
      <c r="E323" s="1" t="s">
        <v>13</v>
      </c>
      <c r="F323" s="3" t="s">
        <v>138</v>
      </c>
      <c r="G323" t="s">
        <v>139</v>
      </c>
      <c r="H323">
        <v>7</v>
      </c>
    </row>
    <row r="324" spans="1:8" x14ac:dyDescent="0.3">
      <c r="A324">
        <v>2</v>
      </c>
      <c r="B324">
        <v>9</v>
      </c>
      <c r="C324" t="s">
        <v>134</v>
      </c>
      <c r="D324" t="s">
        <v>128</v>
      </c>
      <c r="E324" s="1" t="s">
        <v>13</v>
      </c>
      <c r="F324" s="3" t="s">
        <v>138</v>
      </c>
      <c r="G324" t="s">
        <v>139</v>
      </c>
      <c r="H324">
        <v>4</v>
      </c>
    </row>
    <row r="325" spans="1:8" x14ac:dyDescent="0.3">
      <c r="A325">
        <v>1</v>
      </c>
      <c r="C325" t="s">
        <v>134</v>
      </c>
      <c r="D325" t="s">
        <v>128</v>
      </c>
      <c r="E325" s="1" t="s">
        <v>13</v>
      </c>
      <c r="F325" s="3" t="s">
        <v>138</v>
      </c>
      <c r="G325" t="s">
        <v>139</v>
      </c>
      <c r="H325">
        <v>9</v>
      </c>
    </row>
    <row r="326" spans="1:8" x14ac:dyDescent="0.3">
      <c r="A326">
        <v>6</v>
      </c>
      <c r="B326">
        <v>1</v>
      </c>
      <c r="C326" t="s">
        <v>100</v>
      </c>
      <c r="D326" t="s">
        <v>101</v>
      </c>
      <c r="E326" s="1" t="s">
        <v>9</v>
      </c>
      <c r="F326" s="3" t="s">
        <v>77</v>
      </c>
      <c r="G326" t="s">
        <v>78</v>
      </c>
      <c r="H326">
        <v>3</v>
      </c>
    </row>
    <row r="327" spans="1:8" x14ac:dyDescent="0.3">
      <c r="A327">
        <v>6</v>
      </c>
      <c r="B327">
        <v>2</v>
      </c>
      <c r="C327" t="s">
        <v>106</v>
      </c>
      <c r="D327" t="s">
        <v>101</v>
      </c>
      <c r="E327" s="1" t="s">
        <v>9</v>
      </c>
      <c r="F327" s="63" t="s">
        <v>77</v>
      </c>
      <c r="G327" t="s">
        <v>78</v>
      </c>
      <c r="H327">
        <v>5</v>
      </c>
    </row>
    <row r="328" spans="1:8" x14ac:dyDescent="0.3">
      <c r="A328">
        <v>3</v>
      </c>
      <c r="C328" t="s">
        <v>141</v>
      </c>
      <c r="D328" t="s">
        <v>101</v>
      </c>
      <c r="E328"/>
      <c r="F328" s="3" t="s">
        <v>77</v>
      </c>
      <c r="G328" t="s">
        <v>78</v>
      </c>
      <c r="H328">
        <v>2</v>
      </c>
    </row>
    <row r="329" spans="1:8" x14ac:dyDescent="0.3">
      <c r="A329">
        <v>4</v>
      </c>
      <c r="B329">
        <v>2</v>
      </c>
      <c r="C329" t="s">
        <v>106</v>
      </c>
      <c r="D329" t="s">
        <v>101</v>
      </c>
      <c r="E329" s="1" t="s">
        <v>149</v>
      </c>
      <c r="F329" s="3" t="s">
        <v>77</v>
      </c>
      <c r="G329" t="s">
        <v>78</v>
      </c>
      <c r="H329">
        <v>2</v>
      </c>
    </row>
    <row r="330" spans="1:8" x14ac:dyDescent="0.3">
      <c r="A330">
        <v>6</v>
      </c>
      <c r="B330">
        <v>1</v>
      </c>
      <c r="C330" t="s">
        <v>100</v>
      </c>
      <c r="D330" t="s">
        <v>101</v>
      </c>
      <c r="E330" s="1" t="s">
        <v>9</v>
      </c>
      <c r="F330" s="3" t="s">
        <v>104</v>
      </c>
      <c r="G330" t="s">
        <v>105</v>
      </c>
      <c r="H330">
        <v>4</v>
      </c>
    </row>
    <row r="331" spans="1:8" x14ac:dyDescent="0.3">
      <c r="A331">
        <v>6</v>
      </c>
      <c r="B331">
        <v>2</v>
      </c>
      <c r="C331" t="s">
        <v>106</v>
      </c>
      <c r="D331" t="s">
        <v>101</v>
      </c>
      <c r="E331" s="1" t="s">
        <v>9</v>
      </c>
      <c r="F331" s="63" t="s">
        <v>104</v>
      </c>
      <c r="G331" t="s">
        <v>105</v>
      </c>
      <c r="H331">
        <v>5</v>
      </c>
    </row>
    <row r="332" spans="1:8" x14ac:dyDescent="0.3">
      <c r="A332">
        <v>6</v>
      </c>
      <c r="B332">
        <v>3</v>
      </c>
      <c r="C332" t="s">
        <v>113</v>
      </c>
      <c r="D332" t="s">
        <v>101</v>
      </c>
      <c r="E332" s="1" t="s">
        <v>9</v>
      </c>
      <c r="F332" s="63" t="s">
        <v>104</v>
      </c>
      <c r="G332" t="s">
        <v>105</v>
      </c>
      <c r="H332">
        <v>6</v>
      </c>
    </row>
    <row r="333" spans="1:8" x14ac:dyDescent="0.3">
      <c r="A333">
        <v>6</v>
      </c>
      <c r="B333">
        <v>4</v>
      </c>
      <c r="C333" t="s">
        <v>118</v>
      </c>
      <c r="D333" t="s">
        <v>101</v>
      </c>
      <c r="E333" s="1" t="s">
        <v>9</v>
      </c>
      <c r="F333" s="63" t="s">
        <v>104</v>
      </c>
      <c r="G333" t="s">
        <v>105</v>
      </c>
      <c r="H333">
        <v>8</v>
      </c>
    </row>
    <row r="334" spans="1:8" x14ac:dyDescent="0.3">
      <c r="A334">
        <v>6</v>
      </c>
      <c r="B334">
        <v>5</v>
      </c>
      <c r="C334" t="s">
        <v>124</v>
      </c>
      <c r="D334" t="s">
        <v>101</v>
      </c>
      <c r="E334" s="1" t="s">
        <v>9</v>
      </c>
      <c r="F334" s="63" t="s">
        <v>104</v>
      </c>
      <c r="G334" t="s">
        <v>105</v>
      </c>
      <c r="H334">
        <v>5</v>
      </c>
    </row>
    <row r="335" spans="1:8" x14ac:dyDescent="0.3">
      <c r="A335">
        <v>6</v>
      </c>
      <c r="B335">
        <v>1</v>
      </c>
      <c r="C335" t="s">
        <v>127</v>
      </c>
      <c r="D335" t="s">
        <v>128</v>
      </c>
      <c r="E335" s="1" t="s">
        <v>9</v>
      </c>
      <c r="F335" s="63" t="s">
        <v>104</v>
      </c>
      <c r="G335" t="s">
        <v>105</v>
      </c>
      <c r="H335">
        <v>1</v>
      </c>
    </row>
    <row r="336" spans="1:8" x14ac:dyDescent="0.3">
      <c r="A336">
        <v>6</v>
      </c>
      <c r="B336">
        <v>2</v>
      </c>
      <c r="C336" t="s">
        <v>131</v>
      </c>
      <c r="D336" t="s">
        <v>128</v>
      </c>
      <c r="E336" s="1" t="s">
        <v>9</v>
      </c>
      <c r="F336" s="63" t="s">
        <v>104</v>
      </c>
      <c r="G336" t="s">
        <v>105</v>
      </c>
      <c r="H336">
        <v>1</v>
      </c>
    </row>
    <row r="337" spans="1:8" x14ac:dyDescent="0.3">
      <c r="A337">
        <v>6</v>
      </c>
      <c r="B337">
        <v>3</v>
      </c>
      <c r="C337" t="s">
        <v>132</v>
      </c>
      <c r="D337" t="s">
        <v>128</v>
      </c>
      <c r="E337" s="1" t="s">
        <v>9</v>
      </c>
      <c r="F337" s="63" t="s">
        <v>104</v>
      </c>
      <c r="G337" t="s">
        <v>105</v>
      </c>
      <c r="H337">
        <v>1</v>
      </c>
    </row>
    <row r="338" spans="1:8" x14ac:dyDescent="0.3">
      <c r="A338">
        <v>6</v>
      </c>
      <c r="B338">
        <v>4</v>
      </c>
      <c r="C338" t="s">
        <v>134</v>
      </c>
      <c r="D338" t="s">
        <v>128</v>
      </c>
      <c r="E338" s="1" t="s">
        <v>9</v>
      </c>
      <c r="F338" s="63" t="s">
        <v>104</v>
      </c>
      <c r="G338" t="s">
        <v>105</v>
      </c>
      <c r="H338">
        <v>2</v>
      </c>
    </row>
    <row r="339" spans="1:8" x14ac:dyDescent="0.3">
      <c r="A339">
        <v>6</v>
      </c>
      <c r="B339">
        <v>5</v>
      </c>
      <c r="C339" t="s">
        <v>135</v>
      </c>
      <c r="D339" t="s">
        <v>128</v>
      </c>
      <c r="E339" s="1" t="s">
        <v>9</v>
      </c>
      <c r="F339" s="63" t="s">
        <v>104</v>
      </c>
      <c r="G339" t="s">
        <v>105</v>
      </c>
      <c r="H339">
        <v>4</v>
      </c>
    </row>
    <row r="340" spans="1:8" x14ac:dyDescent="0.3">
      <c r="A340">
        <v>3</v>
      </c>
      <c r="C340" t="s">
        <v>100</v>
      </c>
      <c r="D340" t="s">
        <v>101</v>
      </c>
      <c r="E340"/>
      <c r="F340" s="3" t="s">
        <v>104</v>
      </c>
      <c r="G340" t="s">
        <v>105</v>
      </c>
      <c r="H340">
        <v>3</v>
      </c>
    </row>
    <row r="341" spans="1:8" x14ac:dyDescent="0.3">
      <c r="A341">
        <v>3</v>
      </c>
      <c r="C341" t="s">
        <v>106</v>
      </c>
      <c r="D341" t="s">
        <v>101</v>
      </c>
      <c r="E341"/>
      <c r="F341" s="3" t="s">
        <v>104</v>
      </c>
      <c r="G341" t="s">
        <v>105</v>
      </c>
      <c r="H341">
        <v>4</v>
      </c>
    </row>
    <row r="342" spans="1:8" x14ac:dyDescent="0.3">
      <c r="A342">
        <v>3</v>
      </c>
      <c r="C342" t="s">
        <v>141</v>
      </c>
      <c r="D342" t="s">
        <v>101</v>
      </c>
      <c r="E342"/>
      <c r="F342" s="3" t="s">
        <v>104</v>
      </c>
      <c r="G342" t="s">
        <v>105</v>
      </c>
      <c r="H342">
        <v>4</v>
      </c>
    </row>
    <row r="343" spans="1:8" x14ac:dyDescent="0.3">
      <c r="A343">
        <v>3</v>
      </c>
      <c r="C343" t="s">
        <v>127</v>
      </c>
      <c r="D343" t="s">
        <v>128</v>
      </c>
      <c r="E343"/>
      <c r="F343" s="3" t="s">
        <v>104</v>
      </c>
      <c r="G343" t="s">
        <v>105</v>
      </c>
      <c r="H343">
        <v>2</v>
      </c>
    </row>
    <row r="344" spans="1:8" x14ac:dyDescent="0.3">
      <c r="A344">
        <v>3</v>
      </c>
      <c r="C344" t="s">
        <v>131</v>
      </c>
      <c r="D344" t="s">
        <v>128</v>
      </c>
      <c r="E344"/>
      <c r="F344" s="3" t="s">
        <v>104</v>
      </c>
      <c r="G344" t="s">
        <v>105</v>
      </c>
      <c r="H344">
        <v>2</v>
      </c>
    </row>
    <row r="345" spans="1:8" x14ac:dyDescent="0.3">
      <c r="A345">
        <v>3</v>
      </c>
      <c r="C345" t="s">
        <v>132</v>
      </c>
      <c r="D345" t="s">
        <v>128</v>
      </c>
      <c r="E345"/>
      <c r="F345" s="3" t="s">
        <v>104</v>
      </c>
      <c r="G345" t="s">
        <v>105</v>
      </c>
      <c r="H345">
        <v>5</v>
      </c>
    </row>
    <row r="346" spans="1:8" x14ac:dyDescent="0.3">
      <c r="A346">
        <v>3</v>
      </c>
      <c r="C346" t="s">
        <v>134</v>
      </c>
      <c r="D346" t="s">
        <v>128</v>
      </c>
      <c r="E346"/>
      <c r="F346" s="3" t="s">
        <v>104</v>
      </c>
      <c r="G346" t="s">
        <v>105</v>
      </c>
      <c r="H346">
        <v>4</v>
      </c>
    </row>
    <row r="347" spans="1:8" x14ac:dyDescent="0.3">
      <c r="A347">
        <v>3</v>
      </c>
      <c r="C347" t="s">
        <v>135</v>
      </c>
      <c r="D347" t="s">
        <v>128</v>
      </c>
      <c r="E347"/>
      <c r="F347" s="3" t="s">
        <v>104</v>
      </c>
      <c r="G347" t="s">
        <v>105</v>
      </c>
      <c r="H347">
        <v>3</v>
      </c>
    </row>
    <row r="348" spans="1:8" x14ac:dyDescent="0.3">
      <c r="A348">
        <v>2</v>
      </c>
      <c r="B348">
        <v>1</v>
      </c>
      <c r="C348" t="s">
        <v>100</v>
      </c>
      <c r="D348" t="s">
        <v>101</v>
      </c>
      <c r="E348" s="1" t="s">
        <v>9</v>
      </c>
      <c r="F348" s="3" t="s">
        <v>104</v>
      </c>
      <c r="G348" t="s">
        <v>105</v>
      </c>
      <c r="H348">
        <v>3</v>
      </c>
    </row>
    <row r="349" spans="1:8" x14ac:dyDescent="0.3">
      <c r="A349">
        <v>2</v>
      </c>
      <c r="B349">
        <v>2</v>
      </c>
      <c r="C349" t="s">
        <v>106</v>
      </c>
      <c r="D349" t="s">
        <v>101</v>
      </c>
      <c r="E349" s="1" t="s">
        <v>9</v>
      </c>
      <c r="F349" s="3" t="s">
        <v>104</v>
      </c>
      <c r="G349" t="s">
        <v>105</v>
      </c>
      <c r="H349">
        <v>2</v>
      </c>
    </row>
    <row r="350" spans="1:8" x14ac:dyDescent="0.3">
      <c r="A350">
        <v>2</v>
      </c>
      <c r="B350">
        <v>3</v>
      </c>
      <c r="C350" t="s">
        <v>113</v>
      </c>
      <c r="D350" t="s">
        <v>101</v>
      </c>
      <c r="E350" s="1" t="s">
        <v>9</v>
      </c>
      <c r="F350" s="3" t="s">
        <v>104</v>
      </c>
      <c r="G350" t="s">
        <v>105</v>
      </c>
      <c r="H350">
        <v>5</v>
      </c>
    </row>
    <row r="351" spans="1:8" x14ac:dyDescent="0.3">
      <c r="A351">
        <v>2</v>
      </c>
      <c r="B351">
        <v>4</v>
      </c>
      <c r="C351" t="s">
        <v>118</v>
      </c>
      <c r="D351" t="s">
        <v>101</v>
      </c>
      <c r="E351" s="1" t="s">
        <v>9</v>
      </c>
      <c r="F351" s="3" t="s">
        <v>104</v>
      </c>
      <c r="G351" t="s">
        <v>105</v>
      </c>
      <c r="H351">
        <v>3</v>
      </c>
    </row>
    <row r="352" spans="1:8" x14ac:dyDescent="0.3">
      <c r="A352">
        <v>2</v>
      </c>
      <c r="B352">
        <v>5</v>
      </c>
      <c r="C352" t="s">
        <v>141</v>
      </c>
      <c r="D352" t="s">
        <v>101</v>
      </c>
      <c r="E352" s="1" t="s">
        <v>9</v>
      </c>
      <c r="F352" s="3" t="s">
        <v>104</v>
      </c>
      <c r="G352" t="s">
        <v>105</v>
      </c>
      <c r="H352">
        <v>5</v>
      </c>
    </row>
    <row r="353" spans="1:8" x14ac:dyDescent="0.3">
      <c r="A353">
        <v>2</v>
      </c>
      <c r="B353">
        <v>7</v>
      </c>
      <c r="C353" t="s">
        <v>131</v>
      </c>
      <c r="D353" t="s">
        <v>128</v>
      </c>
      <c r="E353" s="1" t="s">
        <v>9</v>
      </c>
      <c r="F353" s="3" t="s">
        <v>104</v>
      </c>
      <c r="G353" t="s">
        <v>105</v>
      </c>
      <c r="H353">
        <v>3</v>
      </c>
    </row>
    <row r="354" spans="1:8" x14ac:dyDescent="0.3">
      <c r="A354">
        <v>2</v>
      </c>
      <c r="B354">
        <v>8</v>
      </c>
      <c r="C354" t="s">
        <v>132</v>
      </c>
      <c r="D354" t="s">
        <v>128</v>
      </c>
      <c r="E354" s="1" t="s">
        <v>9</v>
      </c>
      <c r="F354" s="3" t="s">
        <v>104</v>
      </c>
      <c r="G354" t="s">
        <v>105</v>
      </c>
      <c r="H354">
        <v>3</v>
      </c>
    </row>
    <row r="355" spans="1:8" x14ac:dyDescent="0.3">
      <c r="A355">
        <v>2</v>
      </c>
      <c r="B355">
        <v>9</v>
      </c>
      <c r="C355" t="s">
        <v>134</v>
      </c>
      <c r="D355" t="s">
        <v>128</v>
      </c>
      <c r="E355" s="1" t="s">
        <v>9</v>
      </c>
      <c r="F355" s="3" t="s">
        <v>104</v>
      </c>
      <c r="G355" t="s">
        <v>105</v>
      </c>
      <c r="H355">
        <v>2</v>
      </c>
    </row>
    <row r="356" spans="1:8" x14ac:dyDescent="0.3">
      <c r="A356">
        <v>2</v>
      </c>
      <c r="B356">
        <v>10</v>
      </c>
      <c r="C356" t="s">
        <v>135</v>
      </c>
      <c r="D356" t="s">
        <v>128</v>
      </c>
      <c r="E356" s="1" t="s">
        <v>9</v>
      </c>
      <c r="F356" s="3" t="s">
        <v>104</v>
      </c>
      <c r="G356" t="s">
        <v>105</v>
      </c>
      <c r="H356">
        <v>2</v>
      </c>
    </row>
    <row r="357" spans="1:8" x14ac:dyDescent="0.3">
      <c r="A357">
        <v>4</v>
      </c>
      <c r="B357">
        <v>2</v>
      </c>
      <c r="C357" t="s">
        <v>106</v>
      </c>
      <c r="D357" t="s">
        <v>101</v>
      </c>
      <c r="E357" s="1" t="s">
        <v>149</v>
      </c>
      <c r="F357" s="3" t="s">
        <v>104</v>
      </c>
      <c r="G357" t="s">
        <v>105</v>
      </c>
      <c r="H357">
        <v>2</v>
      </c>
    </row>
    <row r="358" spans="1:8" x14ac:dyDescent="0.3">
      <c r="A358">
        <v>4</v>
      </c>
      <c r="B358">
        <v>3</v>
      </c>
      <c r="C358" t="s">
        <v>113</v>
      </c>
      <c r="D358" t="s">
        <v>101</v>
      </c>
      <c r="E358" s="1" t="s">
        <v>149</v>
      </c>
      <c r="F358" s="3" t="s">
        <v>104</v>
      </c>
      <c r="G358" t="s">
        <v>105</v>
      </c>
      <c r="H358">
        <v>3</v>
      </c>
    </row>
    <row r="359" spans="1:8" x14ac:dyDescent="0.3">
      <c r="A359">
        <v>4</v>
      </c>
      <c r="B359">
        <v>4</v>
      </c>
      <c r="C359" t="s">
        <v>118</v>
      </c>
      <c r="D359" t="s">
        <v>101</v>
      </c>
      <c r="E359" s="1" t="s">
        <v>149</v>
      </c>
      <c r="F359" s="3" t="s">
        <v>104</v>
      </c>
      <c r="G359" t="s">
        <v>105</v>
      </c>
      <c r="H359">
        <v>1</v>
      </c>
    </row>
    <row r="360" spans="1:8" x14ac:dyDescent="0.3">
      <c r="A360">
        <v>4</v>
      </c>
      <c r="B360">
        <v>5</v>
      </c>
      <c r="C360" t="s">
        <v>141</v>
      </c>
      <c r="D360" t="s">
        <v>101</v>
      </c>
      <c r="E360" s="1" t="s">
        <v>149</v>
      </c>
      <c r="F360" s="3" t="s">
        <v>104</v>
      </c>
      <c r="G360" t="s">
        <v>105</v>
      </c>
      <c r="H360">
        <v>1</v>
      </c>
    </row>
    <row r="361" spans="1:8" x14ac:dyDescent="0.3">
      <c r="A361">
        <v>4</v>
      </c>
      <c r="B361">
        <v>1</v>
      </c>
      <c r="C361" t="s">
        <v>127</v>
      </c>
      <c r="D361" t="s">
        <v>128</v>
      </c>
      <c r="E361" s="1" t="s">
        <v>151</v>
      </c>
      <c r="F361" s="3" t="s">
        <v>104</v>
      </c>
      <c r="G361" t="s">
        <v>105</v>
      </c>
      <c r="H361">
        <v>1</v>
      </c>
    </row>
    <row r="362" spans="1:8" x14ac:dyDescent="0.3">
      <c r="A362">
        <v>4</v>
      </c>
      <c r="B362">
        <v>5</v>
      </c>
      <c r="C362" t="s">
        <v>135</v>
      </c>
      <c r="D362" t="s">
        <v>128</v>
      </c>
      <c r="E362" s="1" t="s">
        <v>149</v>
      </c>
      <c r="F362" s="3" t="s">
        <v>104</v>
      </c>
      <c r="G362" t="s">
        <v>105</v>
      </c>
      <c r="H362">
        <v>2</v>
      </c>
    </row>
    <row r="363" spans="1:8" x14ac:dyDescent="0.3">
      <c r="A363">
        <v>1</v>
      </c>
      <c r="B363">
        <v>1</v>
      </c>
      <c r="C363" t="s">
        <v>100</v>
      </c>
      <c r="D363" t="s">
        <v>101</v>
      </c>
      <c r="E363" s="1" t="s">
        <v>9</v>
      </c>
      <c r="F363" s="3" t="s">
        <v>104</v>
      </c>
      <c r="G363" t="s">
        <v>105</v>
      </c>
      <c r="H363">
        <v>4</v>
      </c>
    </row>
    <row r="364" spans="1:8" x14ac:dyDescent="0.3">
      <c r="A364">
        <v>1</v>
      </c>
      <c r="C364" t="s">
        <v>106</v>
      </c>
      <c r="D364" t="s">
        <v>101</v>
      </c>
      <c r="E364" s="1" t="s">
        <v>9</v>
      </c>
      <c r="F364" s="3" t="s">
        <v>104</v>
      </c>
      <c r="G364" t="s">
        <v>105</v>
      </c>
      <c r="H364">
        <v>3</v>
      </c>
    </row>
    <row r="365" spans="1:8" x14ac:dyDescent="0.3">
      <c r="A365">
        <v>1</v>
      </c>
      <c r="C365" t="s">
        <v>113</v>
      </c>
      <c r="D365" t="s">
        <v>101</v>
      </c>
      <c r="E365" s="1" t="s">
        <v>9</v>
      </c>
      <c r="F365" s="3" t="s">
        <v>104</v>
      </c>
      <c r="G365" t="s">
        <v>105</v>
      </c>
      <c r="H365">
        <v>3</v>
      </c>
    </row>
    <row r="366" spans="1:8" x14ac:dyDescent="0.3">
      <c r="A366">
        <v>1</v>
      </c>
      <c r="C366" t="s">
        <v>118</v>
      </c>
      <c r="D366" t="s">
        <v>101</v>
      </c>
      <c r="E366" s="1" t="s">
        <v>9</v>
      </c>
      <c r="F366" s="3" t="s">
        <v>104</v>
      </c>
      <c r="G366" t="s">
        <v>105</v>
      </c>
      <c r="H366">
        <v>2</v>
      </c>
    </row>
    <row r="367" spans="1:8" x14ac:dyDescent="0.3">
      <c r="A367">
        <v>1</v>
      </c>
      <c r="C367" t="s">
        <v>141</v>
      </c>
      <c r="D367" t="s">
        <v>101</v>
      </c>
      <c r="E367" s="1" t="s">
        <v>9</v>
      </c>
      <c r="F367" s="3" t="s">
        <v>104</v>
      </c>
      <c r="G367" t="s">
        <v>105</v>
      </c>
      <c r="H367">
        <v>4</v>
      </c>
    </row>
    <row r="368" spans="1:8" x14ac:dyDescent="0.3">
      <c r="A368">
        <v>1</v>
      </c>
      <c r="C368" t="s">
        <v>127</v>
      </c>
      <c r="D368" t="s">
        <v>128</v>
      </c>
      <c r="E368" s="1" t="s">
        <v>9</v>
      </c>
      <c r="F368" s="3" t="s">
        <v>104</v>
      </c>
      <c r="G368" t="s">
        <v>105</v>
      </c>
      <c r="H368">
        <v>3</v>
      </c>
    </row>
    <row r="369" spans="1:8" x14ac:dyDescent="0.3">
      <c r="A369">
        <v>1</v>
      </c>
      <c r="C369" t="s">
        <v>131</v>
      </c>
      <c r="D369" t="s">
        <v>128</v>
      </c>
      <c r="E369" s="1" t="s">
        <v>9</v>
      </c>
      <c r="F369" s="3" t="s">
        <v>104</v>
      </c>
      <c r="G369" t="s">
        <v>105</v>
      </c>
      <c r="H369">
        <v>3</v>
      </c>
    </row>
    <row r="370" spans="1:8" x14ac:dyDescent="0.3">
      <c r="A370">
        <v>1</v>
      </c>
      <c r="C370" t="s">
        <v>132</v>
      </c>
      <c r="D370" t="s">
        <v>128</v>
      </c>
      <c r="E370" s="1" t="s">
        <v>9</v>
      </c>
      <c r="F370" s="3" t="s">
        <v>104</v>
      </c>
      <c r="G370" t="s">
        <v>105</v>
      </c>
      <c r="H370">
        <v>2</v>
      </c>
    </row>
    <row r="371" spans="1:8" x14ac:dyDescent="0.3">
      <c r="A371">
        <v>1</v>
      </c>
      <c r="C371" t="s">
        <v>134</v>
      </c>
      <c r="D371" t="s">
        <v>128</v>
      </c>
      <c r="E371" s="1" t="s">
        <v>9</v>
      </c>
      <c r="F371" s="3" t="s">
        <v>104</v>
      </c>
      <c r="G371" t="s">
        <v>105</v>
      </c>
      <c r="H371">
        <v>3</v>
      </c>
    </row>
    <row r="372" spans="1:8" x14ac:dyDescent="0.3">
      <c r="A372">
        <v>1</v>
      </c>
      <c r="C372" t="s">
        <v>135</v>
      </c>
      <c r="D372" t="s">
        <v>128</v>
      </c>
      <c r="E372" s="1" t="s">
        <v>9</v>
      </c>
      <c r="F372" s="3" t="s">
        <v>104</v>
      </c>
      <c r="G372" t="s">
        <v>105</v>
      </c>
      <c r="H372">
        <v>4</v>
      </c>
    </row>
    <row r="373" spans="1:8" x14ac:dyDescent="0.3">
      <c r="A373">
        <v>5</v>
      </c>
      <c r="C373" t="s">
        <v>127</v>
      </c>
      <c r="D373" t="s">
        <v>128</v>
      </c>
      <c r="E373" s="1" t="s">
        <v>9</v>
      </c>
      <c r="F373" s="3" t="s">
        <v>104</v>
      </c>
      <c r="G373" t="s">
        <v>105</v>
      </c>
      <c r="H373">
        <v>4</v>
      </c>
    </row>
    <row r="374" spans="1:8" x14ac:dyDescent="0.3">
      <c r="A374">
        <v>5</v>
      </c>
      <c r="C374" t="s">
        <v>131</v>
      </c>
      <c r="D374" t="s">
        <v>128</v>
      </c>
      <c r="E374" s="1" t="s">
        <v>9</v>
      </c>
      <c r="F374" s="3" t="s">
        <v>104</v>
      </c>
      <c r="G374" t="s">
        <v>105</v>
      </c>
      <c r="H374">
        <v>5</v>
      </c>
    </row>
    <row r="375" spans="1:8" x14ac:dyDescent="0.3">
      <c r="A375">
        <v>5</v>
      </c>
      <c r="C375" t="s">
        <v>132</v>
      </c>
      <c r="D375" t="s">
        <v>128</v>
      </c>
      <c r="E375" s="1" t="s">
        <v>9</v>
      </c>
      <c r="F375" s="3" t="s">
        <v>104</v>
      </c>
      <c r="G375" t="s">
        <v>105</v>
      </c>
      <c r="H375">
        <v>2</v>
      </c>
    </row>
    <row r="376" spans="1:8" x14ac:dyDescent="0.3">
      <c r="A376">
        <v>5</v>
      </c>
      <c r="C376" t="s">
        <v>134</v>
      </c>
      <c r="D376" t="s">
        <v>128</v>
      </c>
      <c r="E376" s="1" t="s">
        <v>9</v>
      </c>
      <c r="F376" s="3" t="s">
        <v>104</v>
      </c>
      <c r="G376" t="s">
        <v>105</v>
      </c>
      <c r="H376">
        <v>8</v>
      </c>
    </row>
    <row r="377" spans="1:8" x14ac:dyDescent="0.3">
      <c r="A377">
        <v>5</v>
      </c>
      <c r="C377" t="s">
        <v>100</v>
      </c>
      <c r="D377" t="s">
        <v>101</v>
      </c>
      <c r="E377" s="1" t="s">
        <v>9</v>
      </c>
      <c r="F377" s="3" t="s">
        <v>104</v>
      </c>
      <c r="G377" t="s">
        <v>105</v>
      </c>
      <c r="H377">
        <v>8</v>
      </c>
    </row>
    <row r="378" spans="1:8" x14ac:dyDescent="0.3">
      <c r="A378">
        <v>5</v>
      </c>
      <c r="C378" t="s">
        <v>106</v>
      </c>
      <c r="D378" t="s">
        <v>101</v>
      </c>
      <c r="E378" s="1" t="s">
        <v>9</v>
      </c>
      <c r="F378" s="3" t="s">
        <v>104</v>
      </c>
      <c r="G378" t="s">
        <v>105</v>
      </c>
      <c r="H378">
        <v>7</v>
      </c>
    </row>
    <row r="379" spans="1:8" x14ac:dyDescent="0.3">
      <c r="A379">
        <v>5</v>
      </c>
      <c r="C379" t="s">
        <v>118</v>
      </c>
      <c r="D379" t="s">
        <v>101</v>
      </c>
      <c r="E379" s="1" t="s">
        <v>9</v>
      </c>
      <c r="F379" s="3" t="s">
        <v>104</v>
      </c>
      <c r="G379" t="s">
        <v>105</v>
      </c>
      <c r="H379">
        <v>6</v>
      </c>
    </row>
    <row r="380" spans="1:8" x14ac:dyDescent="0.3">
      <c r="A380">
        <v>5</v>
      </c>
      <c r="C380" t="s">
        <v>141</v>
      </c>
      <c r="D380" t="s">
        <v>101</v>
      </c>
      <c r="E380" s="1" t="s">
        <v>9</v>
      </c>
      <c r="F380" s="3" t="s">
        <v>104</v>
      </c>
      <c r="G380" t="s">
        <v>105</v>
      </c>
      <c r="H380">
        <v>5</v>
      </c>
    </row>
  </sheetData>
  <sortState xmlns:xlrd2="http://schemas.microsoft.com/office/spreadsheetml/2017/richdata2" ref="A2:H380">
    <sortCondition ref="F1:F38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D738-3912-4E44-A3F8-903AF5CCF4D5}">
  <dimension ref="A3:E27"/>
  <sheetViews>
    <sheetView workbookViewId="0">
      <selection activeCell="A3" sqref="A3:E27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25.6640625" bestFit="1" customWidth="1"/>
    <col min="2" max="2" width="27.6640625" customWidth="1"/>
    <col min="3" max="3" width="23.5546875" bestFit="1" customWidth="1"/>
    <col min="4" max="4" width="28.88671875" customWidth="1"/>
    <col min="5" max="5" width="23.5546875" bestFit="1" customWidth="1"/>
    <col min="6" max="6" width="28.5546875" bestFit="1" customWidth="1"/>
    <col min="7" max="7" width="27.33203125" bestFit="1" customWidth="1"/>
  </cols>
  <sheetData>
    <row r="3" spans="1:5" x14ac:dyDescent="0.3">
      <c r="B3" s="64" t="s">
        <v>399</v>
      </c>
      <c r="C3" s="64" t="s">
        <v>398</v>
      </c>
    </row>
    <row r="4" spans="1:5" x14ac:dyDescent="0.3">
      <c r="B4" t="s">
        <v>128</v>
      </c>
      <c r="D4" t="s">
        <v>101</v>
      </c>
    </row>
    <row r="5" spans="1:5" x14ac:dyDescent="0.3">
      <c r="A5" s="64" t="s">
        <v>6</v>
      </c>
      <c r="B5" t="s">
        <v>400</v>
      </c>
      <c r="C5" t="s">
        <v>397</v>
      </c>
      <c r="D5" t="s">
        <v>400</v>
      </c>
      <c r="E5" t="s">
        <v>397</v>
      </c>
    </row>
    <row r="6" spans="1:5" x14ac:dyDescent="0.3">
      <c r="A6" t="s">
        <v>119</v>
      </c>
      <c r="B6">
        <v>13</v>
      </c>
      <c r="C6" s="65">
        <v>1.4615384615384615</v>
      </c>
      <c r="D6">
        <v>15</v>
      </c>
      <c r="E6" s="65">
        <v>2.1333333333333333</v>
      </c>
    </row>
    <row r="7" spans="1:5" x14ac:dyDescent="0.3">
      <c r="A7" t="s">
        <v>158</v>
      </c>
      <c r="C7" s="65"/>
      <c r="D7">
        <v>1</v>
      </c>
      <c r="E7" s="65">
        <v>1</v>
      </c>
    </row>
    <row r="8" spans="1:5" x14ac:dyDescent="0.3">
      <c r="A8" t="s">
        <v>111</v>
      </c>
      <c r="C8" s="65"/>
      <c r="D8">
        <v>6</v>
      </c>
      <c r="E8" s="65">
        <v>1.1666666666666667</v>
      </c>
    </row>
    <row r="9" spans="1:5" x14ac:dyDescent="0.3">
      <c r="A9" t="s">
        <v>20</v>
      </c>
      <c r="B9">
        <v>23</v>
      </c>
      <c r="C9" s="65">
        <v>4.3043478260869561</v>
      </c>
      <c r="D9">
        <v>24</v>
      </c>
      <c r="E9" s="65">
        <v>6.416666666666667</v>
      </c>
    </row>
    <row r="10" spans="1:5" x14ac:dyDescent="0.3">
      <c r="A10" t="s">
        <v>133</v>
      </c>
      <c r="B10">
        <v>4</v>
      </c>
      <c r="C10" s="65">
        <v>5.25</v>
      </c>
      <c r="D10">
        <v>1</v>
      </c>
      <c r="E10" s="65">
        <v>2</v>
      </c>
    </row>
    <row r="11" spans="1:5" x14ac:dyDescent="0.3">
      <c r="A11" t="s">
        <v>126</v>
      </c>
      <c r="B11">
        <v>6</v>
      </c>
      <c r="C11" s="65">
        <v>3</v>
      </c>
      <c r="D11">
        <v>8</v>
      </c>
      <c r="E11" s="65">
        <v>5.5</v>
      </c>
    </row>
    <row r="12" spans="1:5" x14ac:dyDescent="0.3">
      <c r="A12" t="s">
        <v>129</v>
      </c>
      <c r="B12">
        <v>6</v>
      </c>
      <c r="C12" s="65">
        <v>1.8333333333333333</v>
      </c>
      <c r="E12" s="65"/>
    </row>
    <row r="13" spans="1:5" x14ac:dyDescent="0.3">
      <c r="A13" t="s">
        <v>156</v>
      </c>
      <c r="C13" s="65"/>
      <c r="D13">
        <v>1</v>
      </c>
      <c r="E13" s="65">
        <v>6</v>
      </c>
    </row>
    <row r="14" spans="1:5" x14ac:dyDescent="0.3">
      <c r="A14" t="s">
        <v>108</v>
      </c>
      <c r="B14">
        <v>11</v>
      </c>
      <c r="C14" s="65">
        <v>3.7272727272727271</v>
      </c>
      <c r="D14">
        <v>19</v>
      </c>
      <c r="E14" s="65">
        <v>4.2631578947368425</v>
      </c>
    </row>
    <row r="15" spans="1:5" x14ac:dyDescent="0.3">
      <c r="A15" t="s">
        <v>143</v>
      </c>
      <c r="B15">
        <v>10</v>
      </c>
      <c r="C15" s="65">
        <v>2.9</v>
      </c>
      <c r="D15">
        <v>10</v>
      </c>
      <c r="E15" s="65">
        <v>2.8</v>
      </c>
    </row>
    <row r="16" spans="1:5" x14ac:dyDescent="0.3">
      <c r="A16" t="s">
        <v>114</v>
      </c>
      <c r="B16">
        <v>27</v>
      </c>
      <c r="C16" s="65">
        <v>5.8888888888888893</v>
      </c>
      <c r="D16">
        <v>22</v>
      </c>
      <c r="E16" s="65">
        <v>6.6818181818181817</v>
      </c>
    </row>
    <row r="17" spans="1:5" x14ac:dyDescent="0.3">
      <c r="A17" t="s">
        <v>46</v>
      </c>
      <c r="B17">
        <v>1</v>
      </c>
      <c r="C17" s="65">
        <v>2</v>
      </c>
      <c r="E17" s="65"/>
    </row>
    <row r="18" spans="1:5" x14ac:dyDescent="0.3">
      <c r="A18" t="s">
        <v>136</v>
      </c>
      <c r="B18">
        <v>6</v>
      </c>
      <c r="C18" s="65">
        <v>3.6666666666666665</v>
      </c>
      <c r="D18">
        <v>2</v>
      </c>
      <c r="E18" s="65">
        <v>2</v>
      </c>
    </row>
    <row r="19" spans="1:5" x14ac:dyDescent="0.3">
      <c r="A19" t="s">
        <v>102</v>
      </c>
      <c r="B19">
        <v>13</v>
      </c>
      <c r="C19" s="65">
        <v>3.2307692307692308</v>
      </c>
      <c r="D19">
        <v>7</v>
      </c>
      <c r="E19" s="65">
        <v>5.2857142857142856</v>
      </c>
    </row>
    <row r="20" spans="1:5" x14ac:dyDescent="0.3">
      <c r="A20" t="s">
        <v>121</v>
      </c>
      <c r="C20" s="65"/>
      <c r="D20">
        <v>1</v>
      </c>
      <c r="E20" s="65">
        <v>1</v>
      </c>
    </row>
    <row r="21" spans="1:5" x14ac:dyDescent="0.3">
      <c r="A21" t="s">
        <v>116</v>
      </c>
      <c r="B21">
        <v>3</v>
      </c>
      <c r="C21" s="65">
        <v>4.666666666666667</v>
      </c>
      <c r="D21">
        <v>7</v>
      </c>
      <c r="E21" s="65">
        <v>6</v>
      </c>
    </row>
    <row r="22" spans="1:5" x14ac:dyDescent="0.3">
      <c r="A22" t="s">
        <v>117</v>
      </c>
      <c r="B22">
        <v>24</v>
      </c>
      <c r="C22" s="65">
        <v>7.625</v>
      </c>
      <c r="D22">
        <v>15</v>
      </c>
      <c r="E22" s="65">
        <v>6.8666666666666663</v>
      </c>
    </row>
    <row r="23" spans="1:5" x14ac:dyDescent="0.3">
      <c r="A23" t="s">
        <v>123</v>
      </c>
      <c r="B23">
        <v>14</v>
      </c>
      <c r="C23" s="65">
        <v>4.8571428571428568</v>
      </c>
      <c r="D23">
        <v>7</v>
      </c>
      <c r="E23" s="65">
        <v>4.2857142857142856</v>
      </c>
    </row>
    <row r="24" spans="1:5" x14ac:dyDescent="0.3">
      <c r="A24" t="s">
        <v>140</v>
      </c>
      <c r="B24">
        <v>5</v>
      </c>
      <c r="C24" s="65">
        <v>9.1999999999999993</v>
      </c>
      <c r="D24">
        <v>5</v>
      </c>
      <c r="E24" s="65">
        <v>8</v>
      </c>
    </row>
    <row r="25" spans="1:5" x14ac:dyDescent="0.3">
      <c r="A25" t="s">
        <v>138</v>
      </c>
      <c r="B25">
        <v>3</v>
      </c>
      <c r="C25" s="65">
        <v>6.666666666666667</v>
      </c>
      <c r="D25">
        <v>4</v>
      </c>
      <c r="E25" s="65">
        <v>7</v>
      </c>
    </row>
    <row r="26" spans="1:5" x14ac:dyDescent="0.3">
      <c r="A26" t="s">
        <v>77</v>
      </c>
      <c r="C26" s="65"/>
      <c r="D26">
        <v>4</v>
      </c>
      <c r="E26" s="65">
        <v>3</v>
      </c>
    </row>
    <row r="27" spans="1:5" x14ac:dyDescent="0.3">
      <c r="A27" t="s">
        <v>104</v>
      </c>
      <c r="B27">
        <v>25</v>
      </c>
      <c r="C27" s="65">
        <v>2.88</v>
      </c>
      <c r="D27">
        <v>26</v>
      </c>
      <c r="E27" s="65">
        <v>4.0769230769230766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Limestone Pavement grikes</vt:lpstr>
      <vt:lpstr>Limestone Pavem. rooting depths</vt:lpstr>
      <vt:lpstr>Stream 2025</vt:lpstr>
      <vt:lpstr>Lake 2025</vt:lpstr>
      <vt:lpstr>Beetle trapping data</vt:lpstr>
      <vt:lpstr>Beetle species and traits</vt:lpstr>
      <vt:lpstr>Birds</vt:lpstr>
      <vt:lpstr>Grasslands point quadrat data</vt:lpstr>
      <vt:lpstr>Sheet1</vt:lpstr>
      <vt:lpstr>Grasslands 50x50cm quadrat data</vt:lpstr>
      <vt:lpstr>Grassland Sorensen</vt:lpstr>
      <vt:lpstr>Peat bog data</vt:lpstr>
      <vt:lpstr>bog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Stewart</dc:creator>
  <cp:lastModifiedBy>Rudie Kauhanen</cp:lastModifiedBy>
  <dcterms:created xsi:type="dcterms:W3CDTF">2025-06-11T11:30:34Z</dcterms:created>
  <dcterms:modified xsi:type="dcterms:W3CDTF">2025-08-20T13:28:23Z</dcterms:modified>
</cp:coreProperties>
</file>